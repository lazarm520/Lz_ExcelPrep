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AFA858D3-9501-432F-84F4-0B4084F9B921}" xr6:coauthVersionLast="47" xr6:coauthVersionMax="47" xr10:uidLastSave="{00000000-0000-0000-0000-000000000000}"/>
  <bookViews>
    <workbookView xWindow="-28920" yWindow="-120" windowWidth="29040" windowHeight="15720" activeTab="4" xr2:uid="{9236451A-4302-4494-82B2-AA9DCE6A8504}"/>
  </bookViews>
  <sheets>
    <sheet name="List" sheetId="1" r:id="rId1"/>
    <sheet name="LabDiag" sheetId="3" state="hidden" r:id="rId2"/>
    <sheet name="Lz_Adjacent_Lab" sheetId="5" state="hidden" r:id="rId3"/>
    <sheet name="LabLargeNum" sheetId="4" r:id="rId4"/>
    <sheet name="cp" sheetId="8" r:id="rId5"/>
    <sheet name="Lz_Diagonals" sheetId="2" state="hidden" r:id="rId6"/>
    <sheet name="Lz_Chess Lab" sheetId="6" state="hidden" r:id="rId7"/>
    <sheet name="Lz_Chess Lab2" sheetId="7" state="hidden" r:id="rId8"/>
  </sheets>
  <definedNames>
    <definedName name="_regPattern" localSheetId="6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6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A" hidden="1" xlm="1">#NAME?</definedName>
    <definedName name="_xleta.REDUCE" hidden="1" xlm="1">#NAME?</definedName>
    <definedName name="_xleta.ROW" hidden="1" xlm="1">#NAME?</definedName>
    <definedName name="_xleta.ROWS" hidden="1" xlm="1">#NAME?</definedName>
    <definedName name="_xleta.SCAN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gnore_decimals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and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epeat_array" hidden="1" xlm="1">#NAME?</definedName>
    <definedName name="_xlop.repeat_element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imple_version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Weights" hidden="1" xlm="1">#NAME?</definedName>
    <definedName name="_xlop.step" hidden="1" xlm="1">#NAME?</definedName>
    <definedName name="_xlop.StepLimit" hidden="1" xlm="1">#NAME?</definedName>
    <definedName name="_xlop.Stop" hidden="1" xlm="1">#NAME?</definedName>
    <definedName name="_xlop.subtrack" hidden="1" xlm="1">#NAME?</definedName>
    <definedName name="_xlop.subtract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CommandName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atDist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c" hidden="1" xlm="1">#NAME?</definedName>
    <definedName name="_xlpm._Map" hidden="1" xlm="1">#NAME?</definedName>
    <definedName name="_xlpm._Mar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l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A" hidden="1" xlm="1">#NAME?</definedName>
    <definedName name="_xlpm._ResAd" hidden="1" xlm="1">#NAME?</definedName>
    <definedName name="_xlpm._ResAdd" hidden="1" xlm="1">#NAME?</definedName>
    <definedName name="_xlpm._ResAl" hidden="1" xlm="1">#NAME?</definedName>
    <definedName name="_xlpm._ResAll" hidden="1" xlm="1">#NAME?</definedName>
    <definedName name="_xlpm._ResAllo" hidden="1" xlm="1">#NAME?</definedName>
    <definedName name="_xlpm._ResAllow" hidden="1" xlm="1">#NAME?</definedName>
    <definedName name="_xlpm._ResD" hidden="1" xlm="1">#NAME?</definedName>
    <definedName name="_xlpm._ResDi" hidden="1" xlm="1">#NAME?</definedName>
    <definedName name="_xlpm._ResDis" hidden="1" xlm="1">#NAME?</definedName>
    <definedName name="_xlpm._ResDist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Dis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" hidden="1" xlm="1">#NAME?</definedName>
    <definedName name="_xlpm._TCls" hidden="1" xlm="1">#NAME?</definedName>
    <definedName name="_xlpm._tD" hidden="1" xlm="1">#NAME?</definedName>
    <definedName name="_xlpm._tDi" hidden="1" xlm="1">#NAME?</definedName>
    <definedName name="_xlpm._tDis" hidden="1" xlm="1">#NAME?</definedName>
    <definedName name="_xlpm._tDist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" hidden="1" xlm="1">#NAME?</definedName>
    <definedName name="_xlpm._Typ" hidden="1" xlm="1">#NAME?</definedName>
    <definedName name="_xlpm._Type" hidden="1" xlm="1">#NAME?</definedName>
    <definedName name="_xlpm._Type1" hidden="1" xlm="1">#NAME?</definedName>
    <definedName name="_xlpm._Type12" hidden="1" xlm="1">#NAME?</definedName>
    <definedName name="_xlpm._Type123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bso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ase" hidden="1" xlm="1">#NAME?</definedName>
    <definedName name="_xlpm.bb" hidden="1" xlm="1">#NAME?</definedName>
    <definedName name="_xlpm.bc" hidden="1" xlm="1">#NAME?</definedName>
    <definedName name="_xlpm.beforeJoined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cPart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git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iv" hidden="1" xlm="1">#NAME?</definedName>
    <definedName name="_xlpm.dl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ch_rep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2" hidden="1" xlm="1">#NAME?</definedName>
    <definedName name="_xlpm.GROUP3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gnore_decimals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ntPart" hidden="1" xlm="1">#NAME?</definedName>
    <definedName name="_xlpm.ir" hidden="1" xlm="1">#NAME?</definedName>
    <definedName name="_xlpm.is_column" hidden="1" xlm="1">#NAME?</definedName>
    <definedName name="_xlpm.isNeg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ix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ayers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inPart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aive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o_and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oZero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" hidden="1" xlm="1">#NAME?</definedName>
    <definedName name="_xlpm.number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b" hidden="1" xlm="1">#NAME?</definedName>
    <definedName name="_xlpm.OccOf" hidden="1" xlm="1">#NAME?</definedName>
    <definedName name="_xlpm.offset" hidden="1" xlm="1">#NAME?</definedName>
    <definedName name="_xlpm.ok_dir" hidden="1" xlm="1">#NAME?</definedName>
    <definedName name="_xlpm.ok_div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dded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d" hidden="1" xlm="1">#NAME?</definedName>
    <definedName name="_xlpm.piece" hidden="1" xlm="1">#NAME?</definedName>
    <definedName name="_xlpm.plage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peat_array" hidden="1" xlm="1">#NAME?</definedName>
    <definedName name="_xlpm.repeat_element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imple_version" hidden="1" xlm="1">#NAME?</definedName>
    <definedName name="_xlpm.SINGLES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plits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s" hidden="1" xlm="1">#NAME?</definedName>
    <definedName name="_xlpm.StartWeights" hidden="1" xlm="1">#NAME?</definedName>
    <definedName name="_xlpm.step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p" hidden="1" xlm="1">#NAME?</definedName>
    <definedName name="_xlpm.straight" hidden="1" xlm="1">#NAME?</definedName>
    <definedName name="_xlpm.StraightFlush" hidden="1" xlm="1">#NAME?</definedName>
    <definedName name="_xlpm.subtrack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n2nt" hidden="1" xlm="1">#NAME?</definedName>
    <definedName name="_xlpm.tens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npivotColumns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hole_rep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6">{"←";"↑";"→";"↓";"↖";"↗";"↘";"↙"}</definedName>
    <definedName name="A_Arrows">{"←";"↑";"→";"↓";"↖";"↗";"↘";"↙"}</definedName>
    <definedName name="Ad_To_Contents" localSheetId="6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6">_xlfn.LAMBDA(_xlpm.array,_xlfn.MAP(_xlpm.array,_xlfn.LAMBDA(_xlpm.a,ADDRESS(ROW(_xlpm.a),COLUMN(_xlpm.a),4))))</definedName>
    <definedName name="AddressOfCells">_xlfn.LAMBDA(_xlpm.array,_xlfn.MAP(_xlpm.array,_xlfn.LAMBDA(_xlpm.a,ADDRESS(ROW(_xlpm.a),COLUMN(_xlpm.a),4))))</definedName>
    <definedName name="Alphabet">_xlfn.LAMBDA(CHAR(_xlfn.SEQUENCE(26,,65)))</definedName>
    <definedName name="ArrayShift" localSheetId="6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6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6">#N/A</definedName>
    <definedName name="BiCol">_xlfn.LAMBDA(_xlpm.array,_xlpm.function,    IF(       COLUMNS(_xlpm.array) = 1,       IF(ROWS(_xlpm.array) = 1, _xlpm.function(_xlfn.SINGLE(_xlpm.array)), _xlpm.function(_xlpm.array)),       _xlfn.HSTACK(          BiCol(_xlfn.TAKE(_xlpm.array, , COLUMNS(_xlpm.array) / 2), _xlpm.function),          'Lz_Chess Lab'!BiCol(_xlfn.DROP(_xlpm.array, , COLUMNS(_xlpm.array) / 2), _xlpm.function)       )    ) )</definedName>
    <definedName name="Biggest" localSheetId="6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6">#N/A</definedName>
    <definedName name="BiRow">_xlfn.LAMBDA(_xlpm.array,_xlpm.function,    IF(       ROWS(_xlpm.array) = 1,       IF(COLUMNS(_xlpm.array) = 1, _xlpm.function(_xlfn.SINGLE(_xlpm.array)), _xlpm.function(_xlpm.array)),       _xlfn.VSTACK(          BiRow(_xlfn.TAKE(_xlpm.array, ROWS(_xlpm.array) / 2), _xlpm.function),          'Lz_Chess Lab'!BiRow(_xlfn.DROP(_xlpm.array, ROWS(_xlpm.array) / 2), _xlpm.function)       )    ) )</definedName>
    <definedName name="BlockOutMap" localSheetId="6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 _xlfn.LET(
   _xlpm.rn, ROW(_xlpm.mp),
   _xlpm.cn, COLUMN(_xlpm.mp),
   _xlpm.m, 10 ^ 6,
   _xlpm.rcn, _xlpm.rn * _xlpm.m + _xlpm.cn,
   _xlpm.dir, {-1000000,-1,1,1000000,-1000001,-999999,999999,1000001},
   _xlpm.xRC, IF(_xlfn.ISOMITTED(_xlpm.Cus_Dir), _xlfn.TAKE(_xlpm.dir, , 8 - 4 * _xlpm.No_Diag), _xlfn.TOROW(_xlpm.Cus_Dir, 3)),
   _xlpm.blc, _xlfn.TOCOL(IF(_xlfn.XMATCH(_xlpm.mp, _xlfn.TAKE(_xlpm.blockers, , 1)), _xlpm.rcn, ""), 3),
   _xlpm.rblc, VLOOKUP(
      INDEX(_xlpm.mp, INT(_xlpm.blc / _xlpm.m) - _xlfn.SINGLE(ROW(_xlpm.mp)) + 1, MOD(_xlpm.blc, _xlpm.m) - _xlfn.SINGLE(COLUMN(_xlpm.mp)) + 1),
      _xlpm.blockers,
      2,
   )
      - 1,
   _xlpm.blitm, _xlfn.TOCOL(IF(_xlfn.XMATCH(_xlpm.rcn, _xlpm.blc), _xlpm.mp), 3),
   _xlpm.tab, _xlfn.HSTACK(_xlpm.blc, _xlpm.rblc, _xlpm.blitm),
   _xlpm.cot, _xlfn._xlws.FILTER(_xlpm.tab, _xlpm.rblc &gt; 0),
   _xlpm.rs, _xlfn.REDUCE(
      1,
      _xlfn.SEQUENCE(ROWS(_xlpm.cot)),
      _xlfn.LAMBDA(_xlpm.t,_xlpm.y, _xlfn.LET(
         _xlpm.co, _xlfn.CHOOSEROWS(_xlpm.cot, _xlpm.y),
         _xlfn.VSTACK(
            _xlpm.t,
            _xlfn.IFNA(
               _xlfn.HSTACK(
                  _xlfn.REDUCE(
                     _xlfn.CONCAT(_xlfn.TAKE(_xlpm.co, , 1)) * 1,
                     _xlfn.SEQUENCE(_xlfn.CONCAT(_xlfn.CHOOSECOLS(_xlpm.co, 2))) * 1,
                     _xlfn.LAMBDA(_xlpm.a,_xlpm.v, _xlfn.LET(
                        _xlpm.b, _xlfn.TOCOL(_xlpm.a + _xlpm.xRC),
                        _xlpm.c, _xlfn._xlws.FILTER(_xlpm.b, ISNA(_xlfn.XMATCH(_xlpm.b, _xlpm.a))),
                        _xlfn.UNIQUE(_xlfn.VSTACK(_xlpm.a, _xlpm.c))
                     ))
                  ),
                  _xlfn.TAKE(_xlpm.co, , -1)
               ),
               _xlfn.TAKE(_xlpm.co, , -1)
            )
         )
      ))
   ),
   _xlpm.lut, _xlfn.VSTACK(
      _xlfn.CHOOSECOLS(_xlfn._xlws.FILTER(_xlpm.tab, _xlfn.CHOOSECOLS(_xlpm.tab, 2) &gt;= 0), 1, 3),
      IFERROR(_xlpm.rs, "")
   ),
   _xlpm.final, IF(
      _xlfn.ISOMITTED(_xlpm.Fill),
      _xlfn.IFNA(VLOOKUP(_xlpm.rcn, _xlpm.lut, 2, ), ""),
      IF(ISNUMBER(_xlfn.XMATCH(_xlpm.rcn, _xlfn.TAKE(_xlpm.lut, , 1))), _xlpm.Fill, "")
   ),
   _xlpm.final
))</definedName>
    <definedName name="BoardGameMove" localSheetId="6">_xlfn.LAMBDA(_xlpm.MoveValue,_xlpm.EndSpace,MOD(_xlpm.MoveValue-1,_xlpm.EndSpace)+1)</definedName>
    <definedName name="BoardGameMove">_xlfn.LAMBDA(_xlpm.MoveValue,_xlpm.EndSpace,MOD(_xlpm.MoveValue-1,_xlpm.EndSpace)+1)</definedName>
    <definedName name="ByRectangle" localSheetId="6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6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6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 _xlfn.LET(
   _xlpm.questions, _xlfn.TRIMRANGE(
      _xlfn._xlws.FILTER(INDIRECT("Case!$B:$EE"), ISNUMBER(INDIRECT("Case!$B:$B")))
   ),
   _xlpm.rs, IF(_xlpm.questions = 0, NA(), _xlpm.questions),
   _xlpm.QNumbersOnly, IF(
      _xlfn.ISOMITTED(_xlpm.StartQ),
      _xlpm.rs,
      _xlfn._xlws.FILTER(
         _xlpm.questions,
         (_xlfn.CHOOSECOLS(_xlpm.rs, 2) &gt;= _xlpm.StartQ)
            * (_xlfn.CHOOSECOLS(_xlpm.rs, 2) &lt;= IF(_xlfn.ISOMITTED(_xlpm.EndQ), 8, _xlpm.EndQ))
      )
   ),
   _xlfn.DROP(_xlpm.QNumbersOnly, , 5)
))</definedName>
    <definedName name="cell_arround" localSheetId="6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6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6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6">#N/A</definedName>
    <definedName name="Combinations">_xlfn.LAMBDA(_xlpm.Array,_xlpm.c,_xlop.RemoveOrder,_xlop.AllowRepeatItems,_xlop.Cumulative, IFERROR(_xlfn.XLOOKUP(List!PerCom(COUNTA(_xlpm.Array),_xlpm.c,IF(_xlpm.RemoveOrder=1,1),IF(_xlpm.AllowRepeatItems=1,1),IF(_xlpm.Cumulative=1,1)), _xlfn.TAKE(_xlfn.HSTACK(_xlfn.SEQUENCE(COUNTA(_xlpm.Array)),_xlfn.TOCOL(_xlpm.Array)),,1), _xlfn.TAKE(_xlfn.HSTACK(_xlfn.SEQUENCE(COUNTA(_xlpm.Array)),_xlfn.TOCOL(_xlpm.Array)),,-1)),""))</definedName>
    <definedName name="Consecutives" localSheetId="6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6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6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6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6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6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6">_xlfn.LAMBDA(_xlpm.Item,_xlpm.List,_xlop.SearchMode,ISNUMBER(IF(_xlpm.SearchMode,_xleta.SEARCH,_xleta.XMATCH)(_xlpm.Item,_xlpm.List)))</definedName>
    <definedName name="Exists">_xlfn.LAMBDA(_xlpm.Item,_xlpm.List,_xlop.SearchMode,
   ISNUMBER(IF(_xlpm.SearchMode, _xleta.SEARCH, _xleta.XMATCH)(_xlpm.Item, _xlpm.List))
)</definedName>
    <definedName name="ExtractNumbers" localSheetId="6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6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6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6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Ha_Num2Word">_xlfn.LAMBDA(_xlpm.number,_xlop.ignore_decimals,_xlop.simple_version,_xlop.no_and, _xlfn.LET(
   _xlpm.\\LambdaName, "Ha_Num2Word",
   _xlpm.digits, {"zero";"one";"two";"three";"four";"five";"six";"seven";"eight";"nine"},
   _xlpm.isNeg, IF(LEFT(_xlpm.number) = "-", "minus ", ""),
   _xlpm.ten2nt, {"ten";"eleven";"twelve";"thirteen";"fourteen";"fifteen";"sixteen";"seventeen";"eighteen";"nineteen"},
   _xlpm.tens, {"twenty","thirty","forty","fifty","sixty","seventy","eighty","ninety"},
   _xlpm.abso, IF(_xlpm.isNeg &lt;&gt; "", RIGHT(_xlpm.number, LEN(_xlpm.number) - 1), _xlpm.number),
   _xlpm.groups, {"";" thousand";" million";" billion";" trillion"},
   _xlpm.SINGLES, _xlfn.LAMBDA(_xlpm.d,
      _xlfn.TEXTJOIN(" ", , INDEX(_xlpm.digits, MID(_xlpm.d, _xlfn.SEQUENCE(LEN(_xlpm.d)), 1) + 1))
   ),
   _xlpm.GROUP2, _xlfn.LAMBDA(_xlpm.d,
      IF(
         LEFT(_xlpm.d) = "0",
         _xlpm.SINGLES(RIGHT(_xlpm.d)),
         IF(
            LEFT(_xlpm.d) = "1",
            INDEX(_xlpm.ten2nt, RIGHT(_xlpm.d) + 1),
            INDEX(_xlpm.tens, LEFT(_xlpm.d) - 1)
               &amp; IF(RIGHT(_xlpm.d) = "0", "", "-" &amp; _xlpm.SINGLES(RIGHT(_xlpm.d)))
         )
      )
   ),
   _xlpm.GROUP3, _xlfn.LAMBDA(_xlpm.d,
      IF(
         LEFT(_xlpm.d) = "0",
         _xlpm.GROUP2(RIGHT(_xlpm.d, 2)),
         INDEX(_xlpm.digits, LEFT(_xlpm.d) + 1) &amp; " hundred"
            &amp; IF(RIGHT(_xlpm.d, 2) = "00", "", " and " &amp; _xlpm.GROUP2(RIGHT(_xlpm.d, 2)))
      )
   ),
   _xlpm.decPart, IF(_xlpm.ignore_decimals, "", IFERROR(_xlpm.SINGLES(_xlfn.TEXTAFTER(_xlpm.abso, ".")), "")),
   _xlpm.intPart, _xlfn.TEXTBEFORE(_xlpm.abso, ".", , , , _xlpm.abso),
   _xlpm.mainPart, IF(
      _xlpm.simple_version,
      _xlpm.isNeg &amp; _xlpm.SINGLES(_xlpm.intPart),
      _xlfn.LET(
         _xlpm.padded, REPT("0", MOD(3 - MOD(LEN(_xlpm.intPart), 3), 3)) &amp; _xlpm.intPart,
         _xlpm.splits, MID(_xlpm.padded, ((_xlfn.SEQUENCE(_xlfn.SINGLE(LEN(_xlpm.padded)) / 3)) - 1) * 3 + 1, 3),
         _xlpm.layers, ROWS(_xlpm.splits),
         _xlpm.naive, _xlfn.BYROW(
            _xlfn.SEQUENCE(_xlpm.layers),
            _xlfn.LAMBDA(_xlpm.x, _xlpm.GROUP3(INDEX(_xlpm.splits, _xlpm.x)) &amp; INDEX(_xlpm.groups, _xlpm.layers + 1 - _xlpm.x))
         ),
         _xlpm.beforeJoined, IF(
            _xlpm.layers = 1,
            _xlpm.naive,
            _xlfn.LET(
               _xlpm.noZero, IF(LEFT(_xlpm.naive, 4) = "zero", "", _xlpm.naive),
               _xlpm.last, _xlfn.SINGLE(_xlfn.TAKE(_xlpm.noZero, -1)),
               _xlpm.out, IF(
                  ISNUMBER(SEARCH(" and ", _xlpm.last)),
                  _xlpm.noZero,
                  _xlfn.VSTACK(
                     _xlfn.DROP(_xlpm.noZero, -1),
                     IF(
                        OR(_xlpm.last = "", LEFT(_xlfn.SINGLE(_xlfn.TAKE(_xlpm.splits, -1))) &lt;&gt; "0"),
                        "",
                        "and "
                     )
                        &amp; _xlpm.last
                  )
               ),
               _xlpm.out
            )
         ),
         _xlpm.isNeg &amp; _xlfn.TEXTJOIN(" ", 1, _xlpm.beforeJoined)
      )
   ),
   _xlpm.output, IF(_xlpm.no_and, SUBSTITUTE(_xlpm.mainPart, " and", ""), _xlpm.mainPart)
      &amp; IF(_xlpm.decPart = "", "", " point " &amp; _xlpm.decPart),
   _xlpm.output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6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6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6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_xlfn.SINGLE(IF(
      ISNA(_xlpm._mp),
      MAX(1, _xlpm._R - _xlpm._Radius),
      MEDIAN(MIN(RowNum(_xlpm._mp)), _xlpm._R - _xlpm._Radius, MAX(RowNum(_xlpm._mp)))
   )),
   _xlpm._Minc, _xlfn.SINGLE(IF(
      ISNA(_xlpm._mp),
      MAX(1, _xlpm._C - _xlpm._Radius),
      MEDIAN(MIN(ColNum(_xlpm._mp)), _xlpm._C - _xlpm._Radius, MAX(ColNum(_xlpm._mp)))
   )),
   _xlpm._Maxr, _xlfn.SINGLE(IF(
      _xlfn.SINGLE(ISNA(_xlpm._mp)),
      MIN(1000000, _xlpm._R + _xlpm._Radius),
      MEDIAN(MIN(RowNum(_xlpm._mp)), _xlpm._R + _xlpm._Radius, MAX(RowNum(_xlpm._mp)))
   )),
   _xlpm._Maxc, _xlfn.SINGLE(IF(
      ISNA(_xlpm._mp),
      MIN(10000, _xlpm._C + _xlpm._Radius),
      MEDIAN(MIN(ColNum(_xlpm._mp)), _xlpm._C + _xlpm._Radius, MAX(ColNum(_xlpm._mp)))
   )),
   _xlpm._sq1, Lz_SequenceFromTo(_xlpm._Minr, _xlpm._Maxr),
   _xlpm._sq2, Lz_SequenceFromTo(_xlpm._Minc, _xlpm._Maxc, 1),
   _xlpm._Add, ADDRESS(_xlpm._sq1, _xlpm._sq2, 4),
   _xlpm._ResDist, _xlfn.MAP(_xlpm._Add, _xlfn.LAMBDA(_xlpm.ad, Lz_Distance(_xlpm.Start, _xlpm.ad, IF(_xlpm._Type &gt; 3, 1, _xlpm._Type)))),
   _xlpm._u, --(_xlpm._sq1 + _xlpm._sq2 = _xlpm._R + _xlpm._C),
   _xlpm._d, --(_xlpm._sq1 - _xlpm._sq2 = _xlpm._R - _xlpm._C),
   _xlpm._h, ((Lz_SequenceFromTo(_xlpm._Minr, _xlpm._Maxr) = _xlpm._R)),
   _xlpm._v, ((Lz_SequenceFromTo(_xlpm._Minc, _xlpm._Maxc, 1) = _xlpm._C)),
   _xlpm._X, --(_xlpm._u + _xlpm._d &gt; 0),
   _xlpm._Pl, --(_xlpm._h + _xlpm._v &gt; 0),
   _xlpm._Type123, --(_xlpm._ResDist &lt;= _xlpm._Radius),
   _xlpm._ResAllow, IF(_xlpm._Type = 5, _xlpm._Pl, IF(_xlpm._Type = 4, _xlpm._X, _xlpm._Type123)),
   _xlpm._ResAdd, IF(_xlpm._ResAllow, _xlpm._Add, NA()),
   _xlpm._tDist, _xlfn.TOCOL(IF(_xlpm._ResAllow, _xlpm._ResDist, NA()), 3),
   _xlpm._Step12, _xlfn.TOCOL(_xlpm._ResAdd, 3),
   _xlpm._stDist, _xlfn._xlws.SORT(_xlpm._tDist),
   _xlpm._Step14, _xlfn.SORTBY(_xlpm._Step12, _xlpm._tDist),
   _xlpm._Step15, IF(_xlpm._Dist, _xlfn.HSTACK(_xlpm._Step14, _xlpm._stDist), _xlpm._Step14),
   _xlpm._Result, IF(_xlpm._View, IF(_xlpm._ResAllow, _xlpm._Add,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'Lz_Chess Lab'!RowNum(_xlpm.start),
   _xlpm._C, 'Lz_Chess Lab'!ColNum(_xlpm.start),
   _xlpm._Step3, 'Lz_Chess Lab'!AddressOfCells(_xlpm.map),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MIN('Lz_Chess Lab'!RowNum(_xlpm._Step3)),
   _xlpm._Maxr, MAX('Lz_Chess Lab'!RowNum(_xlpm._Step3)),
   _xlpm._Minc, MIN('Lz_Chess Lab'!ColNum(_xlpm._Step3)),
   _xlpm._Maxc, MAX('Lz_Chess Lab'!ColNum(_xlpm._Step3)),
   _xlpm._Step13, _xlfn.VSTACK(
      _xlpm._R - 2,
      _xlpm._R - 2,
      _xlpm._R + 2,
      _xlpm._R + 2,
      _xlpm._R - 1,
      _xlpm._R - 1,
      _xlpm._R + 1,
      _xlpm._R + 1
   ),
   _xlpm._Step14, _xlpm._R - 1,
   _xlpm._Step15, _xlpm._R - 1,
   _xlpm._Step16, _xlpm._R + 1,
   _xlpm._Step17, _xlpm._R + 1,
   _xlpm._Step18, _xlfn.VSTACK(
      _xlpm._C - 1,
      _xlpm._C + 1,
      _xlpm._C - 1,
      _xlpm._C + 1,
      _xlpm._C - 2,
      _xlpm._C + 2,
      _xlpm._C - 2,
      _xlpm._C + 2
   ),
   _xlpm._Step19, _xlpm._C - 1,
   _xlpm._Step20, _xlpm._C + 1,
   _xlpm._Step21, _xlpm._C - 1,
   _xlpm._Step22, _xlpm._C + 1,
   _xlpm._Step23_1, IF(_xlpm._Add?, 1, 0),
   _xlpm._Step24, IF(_xlpm._Dist?, 2, 0),
   _xlpm._Step25, IF(_xlpm._Val?, 3, 0),
   _xlpm._Add, 'Lz_Chess Lab'!Lz_SeqenceFromTo(
      MEDIAN(_xlpm._Minr, _xlpm._R - 1, _xlpm._Maxr),
      MEDIAN(_xlpm._Minr, _xlpm._R + 1, _xlpm._Maxr)
   ),
   _xlpm._Step27, 'Lz_Chess Lab'!Lz_SeqenceFromTo(_xlpm._Minr, _xlpm._Maxr),
   _xlpm._Add_2, 'Lz_Chess Lab'!Lz_SeqenceFromTo(
      MEDIAN(_xlpm._Minc, _xlpm._C - 1, _xlpm._Maxc),
      MEDIAN(_xlpm._Minc, _xlpm._C + 1, _xlpm._Maxc),
      1
   ),
   _xlpm._Step29, 'Lz_Chess Lab'!Lz_SeqenceFromTo(_xlpm._Minc,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'Lz_Chess Lab'!Lz_Distance(_xlpm.u,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
               _xlfn.HSTACK(_xlpm._Step23_1, _xlpm._Step24, _xlpm._Step25),
               _xlfn.HSTACK(_xlpm._Step23_1, _xlpm._Step24, _xlpm._Step25) &lt;&gt; 0
            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6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LargeMult">_xlfn.LAMBDA(_xlpm.x,_xlpm.y, _xlfn.LET(
   _xlpm.\\LambdaName, "Lz_LargeMult",
   _xlpm.l, _xlfn.CEILING.MATH(MAX(LEN(_xlpm.x), LEN(_xlpm.y)), 6),
   _xlpm.s, _xlfn.SEQUENCE(_xlpm.l / 6, , , 6),
   _xlpm.m, MID(RIGHT(REPT(0, _xlpm.l) &amp; _xlfn.HSTACK(_xlpm.x, _xlpm.y), _xlpm.l), _xlpm.s, 6),
   _xlpm.g, _xlfn.GROUPBY(
      _xlfn.TOCOL((_xlpm.l - 5) * 2 - _xlpm.s - _xlfn.TOROW(_xlpm.s)),
      _xlfn.TOCOL(_xlfn.TAKE(_xlpm.m, , 1) * _xlfn.TOROW(_xlfn.DROP(_xlpm.m, , 1))),
      _xleta.SUM,
      ,
      0
   ),
   Lz_LargePlus(IF(_xlfn.DROP(_xlpm.g, , 1), _xlfn.DROP(_xlpm.g, , 1) &amp; REPT(0, _xlfn.TAKE(_xlpm.g, , 1)), 0))
))</definedName>
    <definedName name="Lz_LargePlus">_xlfn.LAMBDA(_xlpm.num,_xlop.subtrack, _xlfn.LET(
   _xlpm.\\LambdaName, "Lz_LargePlus",
   _xlpm.\\CommandName, "LP",
   _xlpm.n, _xlfn.TOROW(_xlpm.num, 3),
   _xlpm.d, _xlfn.SEQUENCE(CEILING(MAX(LEN(_xlpm.n)), 9) / 9) * 9,
   _xlpm.r, REPT(0, 9),
   _xlfn.CONCAT(
      _xlfn.SCAN(
         ,
         _xlfn.SORTBY(
            _xlfn.SCAN(
               0,
               _xlpm.d,
               _xlfn.LAMBDA(_xlpm.a,_xlpm.i,
                  SUM(LEFT(RIGHT(_xlpm.r &amp; _xlpm.n, _xlpm.i), 9) * IF(_xlpm.subtrack, {1,-1}, 1), INT(_xlpm.a / 10 ^ 9))
               )
            ),
            -_xlpm.d
         ),
         _xlfn.LAMBDA(_xlpm._,_xlpm.n, RIGHT(_xlpm.r &amp; MOD(_xlpm.n, 10 ^ 9), 9))
      )
   )
))</definedName>
    <definedName name="Lz_LargePower">_xlfn.LAMBDA(_xlpm.num,_xlpm.exp, _xlfn.LET(
   _xlpm.\\LambdaName, "Lz_LargePower",
   IF(
      _xlpm.exp &lt;= 1,
      _xlpm.num,
      _xlfn.REDUCE(_xlpm.num, _xlfn.SEQUENCE(_xlpm.exp - 1), _xlfn.LAMBDA(_xlpm.ac,_xlpm.v, Lz_LargeMult(_xlpm.ac, _xlpm.num)))
   )
))</definedName>
    <definedName name="Lz_Median" localSheetId="6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6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6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uence">_xlfn.LAMBDA(_xlpm.start,_xlpm.stop,_xlop.step,_xlop.repeat_element,_xlop.repeat_array, _xlfn.LET(
   _xlpm.\\LambdaName, "Lz_Sequence",
   _xlpm.s, _xlpm.start,
   _xlpm.t, _xlpm.stop,
   _xlpm.stp, IF(_xlfn.ISOMITTED(_xlpm.step), IF(_xlpm.t &gt;= _xlpm.s, 1, -1), _xlpm.step),
   _xlpm.re, IF(_xlfn.ISOMITTED(_xlpm.repeat_element), 1, _xlpm.repeat_element),
   _xlpm.ra, IF(_xlfn.ISOMITTED(_xlpm.repeat_array), 1, _xlpm.repeat_array),
   _xlpm.d, _xlpm.t - _xlpm.s,
   _xlpm.ok_dir, OR(_xlpm.d = 0, SIGN(_xlpm.stp) = SIGN(_xlpm.d)),
   _xlpm.ok_div, MOD(ABS(_xlpm.d), ABS(_xlpm.stp)) = 0,
   _xlpm.n, QUOTIENT(ABS(_xlpm.d), ABS(_xlpm.stp)) + 1,
   _xlpm.base, _xlpm.s + _xlpm.stp * _xlfn.SEQUENCE(_xlpm.n, , 0, 1),
   _xlpm.each_rep, INDEX(_xlpm.base, ROUNDUP(_xlfn.SEQUENCE(_xlpm.n * _xlpm.re) / _xlpm.re, 0)),
   _xlpm.whole_rep, INDEX(_xlpm.each_rep, MOD(_xlfn.SEQUENCE(_xlpm.n * _xlpm.re * _xlpm.ra) - 1, _xlpm.n * _xlpm.re) + 1),
   IF(AND(_xlpm.stp &lt;&gt; 0, _xlpm.ok_dir, _xlpm.ok_div), _xlpm.whole_rep, NA())
))</definedName>
    <definedName name="Lz_Sequ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ze" localSheetId="6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6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6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6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6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6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6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6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6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6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6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6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6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6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6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6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6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6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6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6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6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6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6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6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6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6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6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6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6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6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6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6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6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6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6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6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6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6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6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6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6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6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6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6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6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6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6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6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6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6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6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6">_xlfn.LAMBDA(_xlpm.px, _xlfn.LET(_xlpm.\\LambdaName, "PXTOIN", _xlpm.px / 96))</definedName>
    <definedName name="PXTOIN">_xlfn.LAMBDA(_xlpm.px, _xlfn.LET(_xlpm.\\LambdaName, "PXTOIN", _xlpm.px / 96))</definedName>
    <definedName name="RC_Ref_Convert" localSheetId="6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6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6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6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6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6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6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6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6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6">_xlfn.LET(_xlpm.st,NOW(),_xlfn.LAMBDA(_xlpm.x,(NOW()-_xlpm.st)*86400))</definedName>
    <definedName name="Timer">_xlfn.LET(_xlpm.st,NOW(),_xlfn.LAMBDA(_xlpm.x,(NOW()-_xlpm.st)*86400))</definedName>
    <definedName name="TLookup" localSheetId="6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6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6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6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6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E5" i="4" l="1" a="1"/>
  <c r="E5" i="4" s="1"/>
  <c r="H17" i="4" a="1"/>
  <c r="H17" i="4" s="1"/>
  <c r="H12" i="4" a="1"/>
  <c r="H12" i="4" s="1"/>
  <c r="H6" i="4" a="1"/>
  <c r="H6" i="4" s="1"/>
  <c r="N13" i="4" a="1"/>
  <c r="N13" i="4" s="1"/>
  <c r="H10" i="4" a="1"/>
  <c r="H10" i="4" s="1"/>
  <c r="H8" i="4" a="1"/>
  <c r="H8" i="4" s="1"/>
  <c r="N6" i="4" a="1"/>
  <c r="N6" i="4" l="1"/>
  <c r="B24" i="7" a="1"/>
  <c r="B24" i="7" s="1"/>
  <c r="AD27" i="7" s="1" a="1"/>
  <c r="AD27" i="7" s="1"/>
  <c r="DZ30" i="6" a="1"/>
  <c r="DZ30" i="6" s="1"/>
  <c r="BQ17" i="6" a="1"/>
  <c r="BQ17" i="6" s="1"/>
  <c r="AC16" i="6" a="1"/>
  <c r="CV15" i="6"/>
  <c r="CU15" i="6"/>
  <c r="DM16" i="6" s="1"/>
  <c r="CT15" i="6"/>
  <c r="DL16" i="6" s="1"/>
  <c r="CS15" i="6"/>
  <c r="DK16" i="6" s="1"/>
  <c r="AC8" i="6" a="1"/>
  <c r="AC8" i="6" s="1"/>
  <c r="AC7" i="6" a="1"/>
  <c r="AC7" i="6" s="1"/>
  <c r="DG1" i="6" a="1"/>
  <c r="DG1" i="6" s="1"/>
  <c r="N8" i="4" a="1"/>
  <c r="B2" i="5" a="1"/>
  <c r="B28" i="5" a="1"/>
  <c r="N8" i="4" l="1"/>
  <c r="B28" i="5"/>
  <c r="B2" i="5"/>
  <c r="H27" i="7" a="1"/>
  <c r="H27" i="7" s="1"/>
  <c r="BV77" i="6"/>
  <c r="BV66" i="6"/>
  <c r="BV76" i="6"/>
  <c r="BV65" i="6"/>
  <c r="BV54" i="6" a="1"/>
  <c r="BX77" i="6"/>
  <c r="BX66" i="6"/>
  <c r="BX76" i="6"/>
  <c r="BX65" i="6"/>
  <c r="BX54" i="6" a="1"/>
  <c r="BX54" i="6" s="1"/>
  <c r="AC16" i="6"/>
  <c r="AC9" i="6" s="1"/>
  <c r="AC11" i="6" l="1"/>
  <c r="AC12" i="6"/>
  <c r="AC10" i="6"/>
  <c r="AT7" i="6" s="1" a="1"/>
  <c r="BV54" i="6"/>
  <c r="BZ54" i="6" s="1" a="1"/>
  <c r="BZ54" i="6" s="1"/>
  <c r="BZ65" i="6" a="1"/>
  <c r="BZ65" i="6" s="1"/>
  <c r="BZ76" i="6" a="1"/>
  <c r="BZ76" i="6" s="1"/>
  <c r="AU16" i="6" l="1" a="1"/>
  <c r="AU16" i="6" s="1"/>
  <c r="AU6" i="6" a="1"/>
  <c r="AU6" i="6" s="1"/>
  <c r="AT17" i="6" a="1"/>
  <c r="AC14" i="6"/>
  <c r="AT7" i="6"/>
  <c r="AU7" i="6" l="1" a="1"/>
  <c r="AU7" i="6" s="1"/>
  <c r="BD7" i="6" s="1" a="1"/>
  <c r="BD7" i="6" s="1"/>
  <c r="AT17" i="6"/>
  <c r="CH30" i="6" s="1" a="1"/>
  <c r="CH17" i="6" l="1" a="1"/>
  <c r="CH17" i="6" s="1"/>
  <c r="AZ7" i="6" a="1"/>
  <c r="AZ7" i="6" s="1"/>
  <c r="CH30" i="6"/>
  <c r="AU17" i="6" a="1"/>
  <c r="CH43" i="6" l="1" a="1"/>
  <c r="CH43" i="6" s="1"/>
  <c r="AU17" i="6"/>
  <c r="CH65" i="6" s="1" a="1"/>
  <c r="CH65" i="6" s="1"/>
  <c r="AA3" i="5" a="1"/>
  <c r="AA3" i="5" s="1"/>
  <c r="AB2" i="5" a="1"/>
  <c r="AB2" i="5" s="1"/>
  <c r="BG17" i="6" l="1" a="1"/>
  <c r="BG17" i="6" s="1"/>
  <c r="CH76" i="6" a="1"/>
  <c r="CH76" i="6" s="1"/>
  <c r="CH54" i="6" a="1"/>
  <c r="CH54" i="6" s="1"/>
  <c r="CH2" i="6" a="1"/>
  <c r="AB3" i="5" a="1"/>
  <c r="AB3" i="5" s="1"/>
  <c r="C21" i="3" a="1"/>
  <c r="C21" i="3" s="1"/>
  <c r="C6" i="3" a="1"/>
  <c r="C6" i="3" s="1"/>
  <c r="B22" i="3" a="1"/>
  <c r="D40" i="2"/>
  <c r="C44" i="2" s="1"/>
  <c r="D41" i="2"/>
  <c r="D44" i="2" s="1"/>
  <c r="D42" i="2"/>
  <c r="E44" i="2" s="1"/>
  <c r="B2" i="2" a="1"/>
  <c r="C14" i="2" s="1"/>
  <c r="W2" i="2" l="1" a="1"/>
  <c r="W2" i="2" s="1"/>
  <c r="F16" i="2" s="1"/>
  <c r="Z2" i="2" a="1"/>
  <c r="CR43" i="6" a="1"/>
  <c r="CH2" i="6"/>
  <c r="N45" i="2" a="1"/>
  <c r="N45" i="2" s="1"/>
  <c r="B2" i="2"/>
  <c r="X2" i="2" s="1" a="1"/>
  <c r="X2" i="2" s="1"/>
  <c r="C35" i="3" a="1"/>
  <c r="C15" i="2"/>
  <c r="AA1" i="2" s="1" a="1"/>
  <c r="AA1" i="2" s="1"/>
  <c r="U47" i="3" a="1"/>
  <c r="U47" i="3" s="1"/>
  <c r="B22" i="3"/>
  <c r="C22" i="3" s="1" a="1"/>
  <c r="C22" i="3" s="1"/>
  <c r="F15" i="2" l="1"/>
  <c r="C48" i="3" a="1"/>
  <c r="C48" i="3" s="1"/>
  <c r="CR43" i="6"/>
  <c r="DB17" i="6" s="1" a="1"/>
  <c r="C17" i="2"/>
  <c r="Z2" i="2"/>
  <c r="AA2" i="2" s="1" a="1"/>
  <c r="AA2" i="2" s="1"/>
  <c r="C35" i="3"/>
  <c r="D48" i="3" s="1" a="1"/>
  <c r="C16" i="2"/>
  <c r="T22" i="3" a="1"/>
  <c r="F17" i="2"/>
  <c r="E20" i="2" s="1" a="1"/>
  <c r="E20" i="2" s="1"/>
  <c r="F14" i="2"/>
  <c r="AN2" i="2" l="1" a="1"/>
  <c r="AN2" i="2" s="1"/>
  <c r="D20" i="2" a="1"/>
  <c r="D48" i="3"/>
  <c r="F48" i="3" s="1" a="1"/>
  <c r="F48" i="3" s="1"/>
  <c r="T22" i="3"/>
  <c r="N48" i="3" s="1" a="1"/>
  <c r="CR17" i="6" a="1"/>
  <c r="CR30" i="6" a="1"/>
  <c r="DB17" i="6"/>
  <c r="DG17" i="6" s="1" a="1"/>
  <c r="DG17" i="6" s="1"/>
  <c r="L20" i="2" a="1"/>
  <c r="L20" i="2" s="1"/>
  <c r="K20" i="2" a="1"/>
  <c r="K20" i="2" s="1"/>
  <c r="I48" i="3" l="1" a="1"/>
  <c r="I48" i="3" s="1"/>
  <c r="D20" i="2"/>
  <c r="H20" i="2" s="1" a="1"/>
  <c r="H20" i="2" s="1"/>
  <c r="I20" i="2" s="1" a="1"/>
  <c r="CR30" i="6"/>
  <c r="DD17" i="6" s="1" a="1"/>
  <c r="DD17" i="6" s="1"/>
  <c r="DI17" i="6" s="1" a="1"/>
  <c r="DI17" i="6" s="1"/>
  <c r="CR17" i="6"/>
  <c r="DC17" i="6" s="1" a="1"/>
  <c r="N48" i="3"/>
  <c r="O48" i="3" s="1" a="1"/>
  <c r="O48" i="3" s="1"/>
  <c r="O20" i="2" a="1"/>
  <c r="AJ20" i="2" a="1"/>
  <c r="AJ20" i="2" s="1"/>
  <c r="AD20" i="2" l="1" a="1"/>
  <c r="AD20" i="2" s="1"/>
  <c r="R20" i="2" a="1"/>
  <c r="R20" i="2" s="1"/>
  <c r="DC17" i="6"/>
  <c r="DH17" i="6" s="1" a="1"/>
  <c r="G20" i="2" a="1"/>
  <c r="G20" i="2" s="1"/>
  <c r="O20" i="2"/>
  <c r="C45" i="2" s="1" a="1"/>
  <c r="C45" i="2" s="1"/>
  <c r="I20" i="2"/>
  <c r="N20" i="2" l="1" a="1"/>
  <c r="N20" i="2" s="1"/>
  <c r="DH17" i="6"/>
  <c r="DK17" i="6" s="1" a="1"/>
  <c r="P20" i="2" a="1"/>
  <c r="D45" i="2" l="1" a="1"/>
  <c r="D45" i="2" s="1"/>
  <c r="DK17" i="6"/>
  <c r="DO17" i="6" s="1" a="1"/>
  <c r="DO17" i="6" s="1"/>
  <c r="P20" i="2"/>
  <c r="E45" i="2" s="1" a="1"/>
  <c r="E45" i="2" s="1"/>
  <c r="I45" i="2" l="1" a="1"/>
  <c r="I45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str(int(xl(%P2%))+int(xl(%P3%)))</code>
    </pythonScript>
    <pythonScript>
      <code>str(int(xl(%P2%))*int(xl(%P3%)))</code>
    </pythonScript>
  </pythonScripts>
</python>
</file>

<file path=xl/sharedStrings.xml><?xml version="1.0" encoding="utf-8"?>
<sst xmlns="http://schemas.openxmlformats.org/spreadsheetml/2006/main" count="717" uniqueCount="302">
  <si>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</si>
  <si>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</si>
  <si>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</si>
  <si>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</si>
  <si>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</si>
  <si>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</si>
  <si>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</si>
  <si>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</si>
  <si>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</si>
  <si>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=LAMBDA(array,MAP(array,LAMBDA(a,ADDRESS(ROW(a),COLUMN(a),4))))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</si>
  <si>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</si>
  <si>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</si>
  <si>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</si>
  <si>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</si>
  <si>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</si>
  <si>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</si>
  <si>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</si>
  <si>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</si>
  <si>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</si>
  <si>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</si>
  <si>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</si>
  <si>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 xml:space="preserve">=mp blockers [Fill] [No_Diag] [Cus_Dir] ROW(mp) COLUMN(mp) 10^6 rn*m+cn {-1000000,-1,1,1000000,-1000001,-999999,999999,1000001} IF(ISOMITTED(Cus_Dir),TAKE(dir,,8-4*No_Diag),TOROW(Cus_Dir,3)) TOCOL(IF(XMATCH(mp,TAKE(blockers,,1)),rcn,""),3) mp blc/m 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</si>
  <si>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</si>
  <si>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</si>
  <si>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</si>
  <si>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</si>
  <si>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</si>
  <si>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</si>
  <si>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</si>
  <si>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=[StartQ] [EndQ] TRIMRANGE(FILTER(INDIRECT("Case!$B:$EE"),ISNUMBER(INDIRECT("Case!$B:$B")))) IF(questions=0,NA(),questions) IF(ISOMITTED(StartQ),rs,FILTER(questions,(CHOOSECOLS(rs,2)&gt;=StartQ)*(CHOOSECOLS(rs,2)&lt;=IF(ISOMITTED(EndQ),20,EndQ)))) QNumbersOnly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</si>
  <si>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</si>
  <si>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</si>
  <si>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</si>
  <si>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</si>
  <si>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</si>
  <si>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</si>
  <si>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</si>
  <si>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</si>
  <si>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</si>
  <si>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</si>
  <si>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</si>
  <si>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</si>
  <si>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</si>
  <si>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</si>
  <si>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</si>
  <si>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</si>
  <si>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</si>
  <si>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</si>
  <si>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</si>
  <si>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</si>
  <si>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=LAMBDA(Item,List,[SearchMode],ISNUMBER(IF(SearchMode,SEARCH,XMATCH)(Item,List)))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</si>
  <si>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</si>
  <si>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</si>
  <si>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</si>
  <si>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</si>
  <si>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</si>
  <si>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</si>
  <si>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</si>
  <si>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</si>
  <si>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</si>
  <si>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</si>
  <si>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</si>
  <si>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</si>
  <si>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</si>
  <si>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</si>
  <si>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</si>
  <si>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</si>
  <si>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</si>
  <si>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</si>
  <si>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</si>
  <si>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</si>
  <si>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</si>
  <si>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</si>
  <si>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</si>
  <si>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</si>
  <si>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</si>
  <si>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</si>
  <si>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</si>
  <si>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</si>
  <si>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</si>
  <si>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</si>
  <si>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</si>
  <si>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</si>
  <si>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</si>
  <si>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</si>
  <si>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</si>
  <si>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</si>
  <si>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</si>
  <si>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</si>
  <si>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</si>
  <si>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</si>
  <si>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</si>
  <si>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</si>
  <si>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</si>
  <si>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</si>
  <si>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</si>
  <si>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</si>
  <si>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</si>
  <si>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</si>
  <si>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</si>
  <si>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</si>
  <si>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</si>
  <si>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</si>
  <si>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</si>
  <si>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</si>
  <si>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</si>
  <si>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</si>
  <si>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</si>
  <si>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</si>
  <si>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</si>
  <si>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</si>
  <si>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</si>
  <si>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</si>
  <si>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</si>
  <si>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</si>
  <si>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</si>
  <si>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</si>
  <si>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</si>
  <si>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</si>
  <si>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</si>
  <si>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</si>
  <si>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</si>
  <si>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</si>
  <si>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</si>
  <si>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</si>
  <si>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</si>
  <si>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</si>
  <si>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</si>
  <si>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</si>
  <si>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</si>
  <si>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</si>
  <si>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</si>
  <si>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</si>
  <si>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</si>
  <si>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</si>
  <si>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</si>
  <si>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</si>
  <si>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</si>
  <si>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</si>
  <si>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</si>
  <si>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</si>
  <si>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</si>
  <si>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</si>
  <si>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</si>
  <si>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</si>
  <si>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</si>
  <si>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</si>
  <si>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</si>
  <si>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</si>
  <si>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</si>
  <si>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</si>
  <si>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</si>
  <si>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</si>
  <si>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</si>
  <si>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</si>
  <si>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</si>
  <si>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</si>
  <si>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</si>
  <si>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</si>
  <si>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</si>
  <si>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</si>
  <si>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</si>
  <si>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</si>
  <si>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</si>
  <si>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</si>
  <si>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</si>
  <si>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</si>
  <si>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</si>
  <si>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</si>
  <si>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</si>
  <si>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</si>
  <si>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</si>
  <si>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</si>
  <si>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</si>
  <si>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</si>
  <si>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</si>
  <si>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</si>
  <si>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</si>
  <si>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</si>
  <si>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</si>
  <si>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</si>
  <si>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</si>
  <si>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</si>
  <si>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</si>
  <si>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</si>
  <si>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</si>
  <si>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</si>
  <si>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</si>
  <si>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</si>
  <si>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</si>
  <si>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</si>
  <si>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</si>
  <si>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</si>
  <si>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</si>
  <si>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</si>
  <si>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</si>
  <si>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</si>
  <si>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</si>
  <si>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</si>
  <si>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</si>
  <si>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</si>
  <si>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</si>
  <si>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</si>
  <si>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</si>
  <si>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</si>
  <si>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</si>
  <si>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</si>
  <si>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</si>
  <si>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</si>
  <si>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</si>
  <si>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</si>
  <si>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</si>
  <si>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</si>
  <si>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</si>
  <si>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</si>
  <si>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</si>
  <si>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</si>
  <si>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</si>
  <si>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</si>
  <si>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</si>
  <si>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</si>
  <si>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</si>
  <si>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</si>
  <si>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</si>
  <si>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</si>
  <si>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</si>
  <si>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</si>
  <si>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</si>
  <si>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</si>
  <si>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</si>
  <si>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</si>
  <si>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</si>
  <si>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</si>
  <si>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</si>
  <si>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</si>
  <si>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</si>
  <si>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</si>
  <si>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</si>
  <si>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</si>
  <si>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</si>
  <si>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</si>
  <si>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</si>
  <si>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</si>
  <si>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</si>
  <si>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</si>
  <si>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</si>
  <si>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</si>
  <si>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</si>
  <si>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</si>
  <si>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</si>
  <si>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</si>
  <si>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</si>
  <si>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</si>
  <si>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</si>
  <si>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</si>
  <si>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</si>
  <si>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</si>
  <si>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</si>
  <si>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</si>
  <si>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</si>
  <si>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</si>
  <si>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</si>
  <si>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</si>
  <si>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</si>
  <si>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</si>
  <si>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</si>
  <si>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</si>
  <si>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</si>
  <si>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</si>
  <si>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</si>
  <si>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</si>
  <si>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</si>
  <si>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</si>
  <si>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</si>
  <si>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</si>
  <si>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</si>
  <si>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</si>
  <si>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</si>
  <si>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</si>
  <si>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</si>
  <si>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</si>
  <si>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</si>
  <si>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</si>
  <si>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</si>
  <si>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</si>
  <si>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</si>
  <si>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</si>
  <si>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c [RemoveOrder] [AllowRepeatItems] [Cumulative] List!PerCom(COUNTA(Array),c,IF(RemoveOrder=1,1),IF(AllowRepeatItems=1,1),IF(Cumulative=1,1))  TAKE(HSTACK(SEQUENCE(COUNTA(Array)),TOCOL(Array)),,1) HSTACK(SEQUENCE(COUNTA(Array)),TOCOL(Array))  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</si>
  <si>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</si>
  <si>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</si>
  <si>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</si>
  <si>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</si>
  <si>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</si>
  <si>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Lz_SeqenceFromTo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</si>
  <si>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</si>
  <si>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 xml:space="preserve">=array function        COLUMNS(array) = 1        IF(ROWS(array) = 1, function(@array), function(array))           BiCol(TAKE(array, , COLUMNS(array) / 2), function)           'Lz_Chess Lab'!BiCol(DROP(array, , COLUMNS(array) / 2), function) </t>
  </si>
  <si>
    <t xml:space="preserve">=array function        ROWS(array) = 1        IF(COLUMNS(array) = 1, function(@array), function(array))           BiRow(TAKE(array, ROWS(array) / 2), function)           'Lz_Chess Lab'!BiRow(DROP(array, ROWS(array) / 2), function) </t>
  </si>
  <si>
    <t xml:space="preserve">=map start piece [add?] [dist?] [val?] [view]  "Lz_Chess"  'Lz_Chess Lab'!RowNum(start)  'Lz_Chess Lab'!ColNum(start)  'Lz_Chess Lab'!AddressOfCells(map)  map  IF(ISOMITTED(add?), 0, add?)  IF(ISOMITTED(dist?), 0, dist?)  IF(ISOMITTED(val?), 0, val?) </t>
  </si>
  <si>
    <t>AO10</t>
  </si>
  <si>
    <t>32164131968496513468434984354687</t>
  </si>
  <si>
    <t>7984313876531354651354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</si>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</sst>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6" borderId="0" xfId="0" applyFill="1"/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0" fillId="0" borderId="0" xfId="0" quotePrefix="1"/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SupportingPropertyBagStructure" Target="richData/rdsupportingpropertybagstructure.xml"/><Relationship Id="rId10" Type="http://schemas.openxmlformats.org/officeDocument/2006/relationships/styles" Target="styles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s">32164131976480827344966339006041</fb>
    <v>&lt;class 'str'&gt;</v>
    <v>str</v>
    <v>32164131976480827344966339006041</v>
    <v>32164131976480827344966339006041</v>
    <v>0</v>
  </rv>
  <rv s="0">
    <fb t="s">256808525202652468471870844212555156132613155560796198</fb>
    <v>&lt;class 'str'&gt;</v>
    <v>str</v>
    <v>256808525202652468471870844212555156132613155560796198</v>
    <v>256808525202652468471870844212555156132613155560796198</v>
    <v>0</v>
  </rv>
</rvData>
</file>

<file path=xl/richData/rdrichvaluestructure.xml><?xml version="1.0" encoding="utf-8"?>
<rvStructures xmlns="http://schemas.microsoft.com/office/spreadsheetml/2017/richdata" count="1">
  <s t="_python">
    <k n="Python_type" t="s"/>
    <k n="Python_typeName" t="s"/>
    <k n="Python_str" t="s"/>
    <k n="basicValue" t="s"/>
    <k n="_Provider" t="spb"/>
  </s>
</rvStructures>
</file>

<file path=xl/richData/rdsupportingpropertybag.xml><?xml version="1.0" encoding="utf-8"?>
<supportingPropertyBags xmlns="http://schemas.microsoft.com/office/spreadsheetml/2017/richdata2">
  <spbData count="1">
    <spb s="0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1">
  <s>
    <k n="link" t="s"/>
    <k n="logo" t="s"/>
    <k n="name" t="s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21" totalsRowShown="0" headerRowCellStyle="Normal 2" dataCellStyle="Normal 2">
  <autoFilter ref="B13:C121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21"/>
  <sheetViews>
    <sheetView workbookViewId="0">
      <selection activeCell="C26" sqref="C26"/>
    </sheetView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201</v>
      </c>
      <c r="C13" s="1" t="s">
        <v>202</v>
      </c>
    </row>
    <row r="14" spans="2:3">
      <c r="B14" s="1" t="s">
        <v>0</v>
      </c>
      <c r="C14" s="1" t="s">
        <v>1</v>
      </c>
    </row>
    <row r="15" spans="2:3">
      <c r="B15" s="1" t="s">
        <v>2</v>
      </c>
      <c r="C15" s="1" t="s">
        <v>3</v>
      </c>
    </row>
    <row r="16" spans="2:3">
      <c r="B16" s="1" t="s">
        <v>4</v>
      </c>
      <c r="C16" s="1" t="s">
        <v>5</v>
      </c>
    </row>
    <row r="17" spans="2:3">
      <c r="B17" s="1" t="s">
        <v>6</v>
      </c>
      <c r="C17" s="1" t="s">
        <v>7</v>
      </c>
    </row>
    <row r="18" spans="2:3">
      <c r="B18" s="1" t="s">
        <v>8</v>
      </c>
      <c r="C18" s="1" t="s">
        <v>9</v>
      </c>
    </row>
    <row r="19" spans="2:3">
      <c r="B19" s="1" t="s">
        <v>10</v>
      </c>
      <c r="C19" s="1" t="s">
        <v>11</v>
      </c>
    </row>
    <row r="20" spans="2:3">
      <c r="B20" s="1" t="s">
        <v>12</v>
      </c>
      <c r="C20" s="1" t="s">
        <v>13</v>
      </c>
    </row>
    <row r="21" spans="2:3">
      <c r="B21" s="1" t="s">
        <v>14</v>
      </c>
      <c r="C21" s="1" t="s">
        <v>15</v>
      </c>
    </row>
    <row r="22" spans="2:3">
      <c r="B22" s="1" t="s">
        <v>16</v>
      </c>
      <c r="C22" s="1" t="s">
        <v>295</v>
      </c>
    </row>
    <row r="23" spans="2:3">
      <c r="B23" s="1" t="s">
        <v>17</v>
      </c>
      <c r="C23" s="1" t="s">
        <v>18</v>
      </c>
    </row>
    <row r="24" spans="2:3">
      <c r="B24" s="1" t="s">
        <v>19</v>
      </c>
      <c r="C24" s="1" t="s">
        <v>296</v>
      </c>
    </row>
    <row r="25" spans="2:3">
      <c r="B25" s="1" t="s">
        <v>20</v>
      </c>
      <c r="C25" s="1" t="s">
        <v>21</v>
      </c>
    </row>
    <row r="26" spans="2:3">
      <c r="B26" s="1" t="s">
        <v>22</v>
      </c>
      <c r="C26" s="1" t="s">
        <v>23</v>
      </c>
    </row>
    <row r="27" spans="2:3">
      <c r="B27" s="1" t="s">
        <v>24</v>
      </c>
      <c r="C27" s="1" t="s">
        <v>25</v>
      </c>
    </row>
    <row r="28" spans="2:3">
      <c r="B28" s="1" t="s">
        <v>26</v>
      </c>
      <c r="C28" s="1" t="s">
        <v>27</v>
      </c>
    </row>
    <row r="29" spans="2:3">
      <c r="B29" s="1" t="s">
        <v>28</v>
      </c>
      <c r="C29" s="1" t="s">
        <v>29</v>
      </c>
    </row>
    <row r="30" spans="2:3">
      <c r="B30" s="1" t="s">
        <v>30</v>
      </c>
      <c r="C30" s="1" t="s">
        <v>31</v>
      </c>
    </row>
    <row r="31" spans="2:3">
      <c r="B31" s="1" t="s">
        <v>32</v>
      </c>
      <c r="C31" s="1" t="s">
        <v>33</v>
      </c>
    </row>
    <row r="32" spans="2:3">
      <c r="B32" s="1" t="s">
        <v>34</v>
      </c>
      <c r="C32" s="1" t="s">
        <v>35</v>
      </c>
    </row>
    <row r="33" spans="2:3">
      <c r="B33" s="1" t="s">
        <v>36</v>
      </c>
      <c r="C33" s="1" t="s">
        <v>287</v>
      </c>
    </row>
    <row r="34" spans="2:3">
      <c r="B34" s="1" t="s">
        <v>37</v>
      </c>
      <c r="C34" s="1" t="s">
        <v>38</v>
      </c>
    </row>
    <row r="35" spans="2:3">
      <c r="B35" s="1" t="s">
        <v>39</v>
      </c>
      <c r="C35" s="1" t="s">
        <v>40</v>
      </c>
    </row>
    <row r="36" spans="2:3">
      <c r="B36" s="1" t="s">
        <v>41</v>
      </c>
      <c r="C36" s="1" t="s">
        <v>42</v>
      </c>
    </row>
    <row r="37" spans="2:3">
      <c r="B37" s="1" t="s">
        <v>43</v>
      </c>
      <c r="C37" s="1" t="s">
        <v>44</v>
      </c>
    </row>
    <row r="38" spans="2:3">
      <c r="B38" s="1" t="s">
        <v>45</v>
      </c>
      <c r="C38" s="1" t="s">
        <v>46</v>
      </c>
    </row>
    <row r="39" spans="2:3">
      <c r="B39" s="1" t="s">
        <v>47</v>
      </c>
      <c r="C39" s="1" t="s">
        <v>48</v>
      </c>
    </row>
    <row r="40" spans="2:3">
      <c r="B40" s="1" t="s">
        <v>49</v>
      </c>
      <c r="C40" s="1" t="s">
        <v>50</v>
      </c>
    </row>
    <row r="41" spans="2:3">
      <c r="B41" s="1" t="s">
        <v>51</v>
      </c>
      <c r="C41" s="1" t="s">
        <v>52</v>
      </c>
    </row>
    <row r="42" spans="2:3">
      <c r="B42" s="1" t="s">
        <v>53</v>
      </c>
      <c r="C42" s="1" t="s">
        <v>54</v>
      </c>
    </row>
    <row r="43" spans="2:3">
      <c r="B43" s="1" t="s">
        <v>55</v>
      </c>
      <c r="C43" s="1" t="s">
        <v>56</v>
      </c>
    </row>
    <row r="44" spans="2:3">
      <c r="B44" s="1" t="s">
        <v>57</v>
      </c>
      <c r="C44" s="1" t="s">
        <v>288</v>
      </c>
    </row>
    <row r="45" spans="2:3">
      <c r="B45" s="1" t="s">
        <v>58</v>
      </c>
      <c r="C45" s="1" t="s">
        <v>59</v>
      </c>
    </row>
    <row r="46" spans="2:3">
      <c r="B46" s="1" t="s">
        <v>60</v>
      </c>
      <c r="C46" s="1" t="s">
        <v>61</v>
      </c>
    </row>
    <row r="47" spans="2:3">
      <c r="B47" s="1" t="s">
        <v>62</v>
      </c>
      <c r="C47" s="1" t="s">
        <v>289</v>
      </c>
    </row>
    <row r="48" spans="2:3">
      <c r="B48" s="1" t="s">
        <v>290</v>
      </c>
      <c r="C48" s="1" t="s">
        <v>297</v>
      </c>
    </row>
    <row r="49" spans="2:3">
      <c r="B49" s="1" t="s">
        <v>229</v>
      </c>
      <c r="C49" s="1" t="s">
        <v>230</v>
      </c>
    </row>
    <row r="50" spans="2:3">
      <c r="B50" s="1" t="s">
        <v>63</v>
      </c>
      <c r="C50" s="1" t="s">
        <v>64</v>
      </c>
    </row>
    <row r="51" spans="2:3">
      <c r="B51" s="1" t="s">
        <v>291</v>
      </c>
      <c r="C51" s="1" t="s">
        <v>292</v>
      </c>
    </row>
    <row r="52" spans="2:3">
      <c r="B52" s="1" t="s">
        <v>231</v>
      </c>
      <c r="C52" s="1" t="s">
        <v>232</v>
      </c>
    </row>
    <row r="53" spans="2:3">
      <c r="B53" s="1" t="s">
        <v>65</v>
      </c>
      <c r="C53" s="1" t="s">
        <v>66</v>
      </c>
    </row>
    <row r="54" spans="2:3">
      <c r="B54" s="1" t="s">
        <v>293</v>
      </c>
      <c r="C54" s="1" t="s">
        <v>294</v>
      </c>
    </row>
    <row r="55" spans="2:3">
      <c r="B55" s="1" t="s">
        <v>67</v>
      </c>
      <c r="C55" s="1" t="s">
        <v>68</v>
      </c>
    </row>
    <row r="56" spans="2:3">
      <c r="B56" s="1" t="s">
        <v>69</v>
      </c>
      <c r="C56" s="1" t="s">
        <v>70</v>
      </c>
    </row>
    <row r="57" spans="2:3">
      <c r="B57" s="1" t="s">
        <v>71</v>
      </c>
      <c r="C57" s="1" t="s">
        <v>72</v>
      </c>
    </row>
    <row r="58" spans="2:3">
      <c r="B58" s="1" t="s">
        <v>73</v>
      </c>
      <c r="C58" s="1" t="s">
        <v>74</v>
      </c>
    </row>
    <row r="59" spans="2:3">
      <c r="B59" s="1" t="s">
        <v>75</v>
      </c>
      <c r="C59" s="1" t="s">
        <v>76</v>
      </c>
    </row>
    <row r="60" spans="2:3">
      <c r="B60" s="1" t="s">
        <v>77</v>
      </c>
      <c r="C60" s="1" t="s">
        <v>78</v>
      </c>
    </row>
    <row r="61" spans="2:3">
      <c r="B61" s="1" t="s">
        <v>79</v>
      </c>
      <c r="C61" s="1" t="s">
        <v>80</v>
      </c>
    </row>
    <row r="62" spans="2:3">
      <c r="B62" s="1" t="s">
        <v>81</v>
      </c>
      <c r="C62" s="1" t="s">
        <v>82</v>
      </c>
    </row>
    <row r="63" spans="2:3">
      <c r="B63" s="1" t="s">
        <v>83</v>
      </c>
      <c r="C63" s="1" t="s">
        <v>84</v>
      </c>
    </row>
    <row r="64" spans="2:3">
      <c r="B64" s="1" t="s">
        <v>85</v>
      </c>
      <c r="C64" s="1" t="s">
        <v>86</v>
      </c>
    </row>
    <row r="65" spans="2:3">
      <c r="B65" s="1" t="s">
        <v>87</v>
      </c>
      <c r="C65" s="1" t="s">
        <v>88</v>
      </c>
    </row>
    <row r="66" spans="2:3">
      <c r="B66" s="1" t="s">
        <v>89</v>
      </c>
      <c r="C66" s="1" t="s">
        <v>90</v>
      </c>
    </row>
    <row r="67" spans="2:3">
      <c r="B67" s="1" t="s">
        <v>91</v>
      </c>
      <c r="C67" s="1" t="s">
        <v>92</v>
      </c>
    </row>
    <row r="68" spans="2:3">
      <c r="B68" s="1" t="s">
        <v>93</v>
      </c>
      <c r="C68" s="1" t="s">
        <v>94</v>
      </c>
    </row>
    <row r="69" spans="2:3">
      <c r="B69" s="1" t="s">
        <v>95</v>
      </c>
      <c r="C69" s="1" t="s">
        <v>96</v>
      </c>
    </row>
    <row r="70" spans="2:3">
      <c r="B70" s="1" t="s">
        <v>97</v>
      </c>
      <c r="C70" s="1" t="s">
        <v>98</v>
      </c>
    </row>
    <row r="71" spans="2:3">
      <c r="B71" s="1" t="s">
        <v>99</v>
      </c>
      <c r="C71" s="1" t="s">
        <v>100</v>
      </c>
    </row>
    <row r="72" spans="2:3">
      <c r="B72" s="1" t="s">
        <v>101</v>
      </c>
      <c r="C72" s="1" t="s">
        <v>102</v>
      </c>
    </row>
    <row r="73" spans="2:3">
      <c r="B73" s="1" t="s">
        <v>103</v>
      </c>
      <c r="C73" s="1" t="s">
        <v>104</v>
      </c>
    </row>
    <row r="74" spans="2:3">
      <c r="B74" s="1" t="s">
        <v>105</v>
      </c>
      <c r="C74" s="1" t="s">
        <v>106</v>
      </c>
    </row>
    <row r="75" spans="2:3">
      <c r="B75" s="1" t="s">
        <v>107</v>
      </c>
      <c r="C75" s="1" t="s">
        <v>108</v>
      </c>
    </row>
    <row r="76" spans="2:3">
      <c r="B76" s="1" t="s">
        <v>109</v>
      </c>
      <c r="C76" s="1" t="s">
        <v>110</v>
      </c>
    </row>
    <row r="77" spans="2:3">
      <c r="B77" s="1" t="s">
        <v>111</v>
      </c>
      <c r="C77" s="1" t="s">
        <v>112</v>
      </c>
    </row>
    <row r="78" spans="2:3">
      <c r="B78" s="1" t="s">
        <v>113</v>
      </c>
      <c r="C78" s="1" t="s">
        <v>114</v>
      </c>
    </row>
    <row r="79" spans="2:3">
      <c r="B79" s="1" t="s">
        <v>115</v>
      </c>
      <c r="C79" s="1" t="s">
        <v>116</v>
      </c>
    </row>
    <row r="80" spans="2:3">
      <c r="B80" s="1" t="s">
        <v>117</v>
      </c>
      <c r="C80" s="1" t="s">
        <v>118</v>
      </c>
    </row>
    <row r="81" spans="2:3">
      <c r="B81" s="1" t="s">
        <v>119</v>
      </c>
      <c r="C81" s="1" t="s">
        <v>120</v>
      </c>
    </row>
    <row r="82" spans="2:3">
      <c r="B82" s="1" t="s">
        <v>121</v>
      </c>
      <c r="C82" s="1" t="s">
        <v>122</v>
      </c>
    </row>
    <row r="83" spans="2:3">
      <c r="B83" s="1" t="s">
        <v>123</v>
      </c>
      <c r="C83" s="1" t="s">
        <v>124</v>
      </c>
    </row>
    <row r="84" spans="2:3">
      <c r="B84" s="1" t="s">
        <v>125</v>
      </c>
      <c r="C84" s="1" t="s">
        <v>126</v>
      </c>
    </row>
    <row r="85" spans="2:3">
      <c r="B85" s="1" t="s">
        <v>127</v>
      </c>
      <c r="C85" s="1" t="s">
        <v>128</v>
      </c>
    </row>
    <row r="86" spans="2:3">
      <c r="B86" s="1" t="s">
        <v>129</v>
      </c>
      <c r="C86" s="1" t="s">
        <v>130</v>
      </c>
    </row>
    <row r="87" spans="2:3">
      <c r="B87" s="1" t="s">
        <v>131</v>
      </c>
      <c r="C87" s="1" t="s">
        <v>132</v>
      </c>
    </row>
    <row r="88" spans="2:3">
      <c r="B88" s="1" t="s">
        <v>133</v>
      </c>
      <c r="C88" s="1" t="s">
        <v>134</v>
      </c>
    </row>
    <row r="89" spans="2:3">
      <c r="B89" s="1" t="s">
        <v>135</v>
      </c>
      <c r="C89" s="1" t="s">
        <v>136</v>
      </c>
    </row>
    <row r="90" spans="2:3">
      <c r="B90" s="1" t="s">
        <v>137</v>
      </c>
      <c r="C90" s="1" t="s">
        <v>138</v>
      </c>
    </row>
    <row r="91" spans="2:3">
      <c r="B91" s="1" t="s">
        <v>139</v>
      </c>
      <c r="C91" s="1" t="s">
        <v>140</v>
      </c>
    </row>
    <row r="92" spans="2:3">
      <c r="B92" s="1" t="s">
        <v>141</v>
      </c>
      <c r="C92" s="1" t="s">
        <v>142</v>
      </c>
    </row>
    <row r="93" spans="2:3">
      <c r="B93" s="1" t="s">
        <v>143</v>
      </c>
      <c r="C93" s="1" t="s">
        <v>144</v>
      </c>
    </row>
    <row r="94" spans="2:3">
      <c r="B94" s="1" t="s">
        <v>145</v>
      </c>
      <c r="C94" s="1" t="s">
        <v>146</v>
      </c>
    </row>
    <row r="95" spans="2:3">
      <c r="B95" s="1" t="s">
        <v>147</v>
      </c>
      <c r="C95" s="1" t="s">
        <v>148</v>
      </c>
    </row>
    <row r="96" spans="2:3">
      <c r="B96" s="1" t="s">
        <v>149</v>
      </c>
      <c r="C96" s="1" t="s">
        <v>150</v>
      </c>
    </row>
    <row r="97" spans="2:3">
      <c r="B97" s="1" t="s">
        <v>151</v>
      </c>
      <c r="C97" s="1" t="s">
        <v>152</v>
      </c>
    </row>
    <row r="98" spans="2:3">
      <c r="B98" s="1" t="s">
        <v>153</v>
      </c>
      <c r="C98" s="1" t="s">
        <v>154</v>
      </c>
    </row>
    <row r="99" spans="2:3">
      <c r="B99" s="1" t="s">
        <v>155</v>
      </c>
      <c r="C99" s="1" t="s">
        <v>156</v>
      </c>
    </row>
    <row r="100" spans="2:3">
      <c r="B100" s="1" t="s">
        <v>157</v>
      </c>
      <c r="C100" s="1" t="s">
        <v>158</v>
      </c>
    </row>
    <row r="101" spans="2:3">
      <c r="B101" s="1" t="s">
        <v>159</v>
      </c>
      <c r="C101" s="1" t="s">
        <v>160</v>
      </c>
    </row>
    <row r="102" spans="2:3">
      <c r="B102" s="1" t="s">
        <v>161</v>
      </c>
      <c r="C102" s="1" t="s">
        <v>162</v>
      </c>
    </row>
    <row r="103" spans="2:3">
      <c r="B103" s="1" t="s">
        <v>163</v>
      </c>
      <c r="C103" s="1" t="s">
        <v>164</v>
      </c>
    </row>
    <row r="104" spans="2:3">
      <c r="B104" s="1" t="s">
        <v>165</v>
      </c>
      <c r="C104" s="1" t="s">
        <v>166</v>
      </c>
    </row>
    <row r="105" spans="2:3">
      <c r="B105" s="1" t="s">
        <v>167</v>
      </c>
      <c r="C105" s="1" t="s">
        <v>168</v>
      </c>
    </row>
    <row r="106" spans="2:3">
      <c r="B106" s="1" t="s">
        <v>169</v>
      </c>
      <c r="C106" s="1" t="s">
        <v>170</v>
      </c>
    </row>
    <row r="107" spans="2:3">
      <c r="B107" s="1" t="s">
        <v>171</v>
      </c>
      <c r="C107" s="1" t="s">
        <v>172</v>
      </c>
    </row>
    <row r="108" spans="2:3">
      <c r="B108" s="1" t="s">
        <v>173</v>
      </c>
      <c r="C108" s="1" t="s">
        <v>174</v>
      </c>
    </row>
    <row r="109" spans="2:3">
      <c r="B109" s="1" t="s">
        <v>175</v>
      </c>
      <c r="C109" s="1" t="s">
        <v>176</v>
      </c>
    </row>
    <row r="110" spans="2:3">
      <c r="B110" s="1" t="s">
        <v>177</v>
      </c>
      <c r="C110" s="1" t="s">
        <v>178</v>
      </c>
    </row>
    <row r="111" spans="2:3">
      <c r="B111" s="1" t="s">
        <v>179</v>
      </c>
      <c r="C111" s="1" t="s">
        <v>180</v>
      </c>
    </row>
    <row r="112" spans="2:3">
      <c r="B112" s="1" t="s">
        <v>181</v>
      </c>
      <c r="C112" s="1" t="s">
        <v>182</v>
      </c>
    </row>
    <row r="113" spans="2:3">
      <c r="B113" s="1" t="s">
        <v>183</v>
      </c>
      <c r="C113" s="1" t="s">
        <v>184</v>
      </c>
    </row>
    <row r="114" spans="2:3">
      <c r="B114" s="1" t="s">
        <v>185</v>
      </c>
      <c r="C114" s="1" t="s">
        <v>186</v>
      </c>
    </row>
    <row r="115" spans="2:3">
      <c r="B115" s="1" t="s">
        <v>187</v>
      </c>
      <c r="C115" s="1" t="s">
        <v>188</v>
      </c>
    </row>
    <row r="116" spans="2:3">
      <c r="B116" s="1" t="s">
        <v>189</v>
      </c>
      <c r="C116" s="1" t="s">
        <v>190</v>
      </c>
    </row>
    <row r="117" spans="2:3">
      <c r="B117" s="1" t="s">
        <v>191</v>
      </c>
      <c r="C117" s="1" t="s">
        <v>192</v>
      </c>
    </row>
    <row r="118" spans="2:3">
      <c r="B118" s="1" t="s">
        <v>193</v>
      </c>
      <c r="C118" s="1" t="s">
        <v>194</v>
      </c>
    </row>
    <row r="119" spans="2:3">
      <c r="B119" s="1" t="s">
        <v>195</v>
      </c>
      <c r="C119" s="1" t="s">
        <v>196</v>
      </c>
    </row>
    <row r="120" spans="2:3">
      <c r="B120" s="1" t="s">
        <v>197</v>
      </c>
      <c r="C120" s="1" t="s">
        <v>198</v>
      </c>
    </row>
    <row r="121" spans="2:3">
      <c r="B121" s="1" t="s">
        <v>199</v>
      </c>
      <c r="C121" s="1" t="s">
        <v>200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sheetPr codeName="Sheet2"/>
  <dimension ref="B3:AH197"/>
  <sheetViews>
    <sheetView workbookViewId="0"/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sheetPr codeName="Sheet3"/>
  <dimension ref="B2:BE49"/>
  <sheetViews>
    <sheetView workbookViewId="0">
      <selection activeCell="B2" sqref="B2"/>
    </sheetView>
  </sheetViews>
  <sheetFormatPr defaultColWidth="4.140625" defaultRowHeight="15"/>
  <cols>
    <col min="2" max="2" width="5" customWidth="1"/>
  </cols>
  <sheetData>
    <row r="2" spans="2:57">
      <c r="B2" s="23" t="str" cm="1">
        <f t="array" aca="1" ref="B2:Q22" ca="1">Lz_Adjacent(AA11, AA12, AA13, , , AL2:BE24, 1)</f>
        <v>AL2</v>
      </c>
      <c r="C2" s="23" t="str">
        <f ca="1"/>
        <v>AM2</v>
      </c>
      <c r="D2" s="23" t="str">
        <f ca="1"/>
        <v>AN2</v>
      </c>
      <c r="E2" s="23" t="str">
        <f ca="1"/>
        <v>AO2</v>
      </c>
      <c r="F2" s="23" t="str">
        <f ca="1"/>
        <v>AP2</v>
      </c>
      <c r="G2" s="23" t="str">
        <f ca="1"/>
        <v>AQ2</v>
      </c>
      <c r="H2" s="23" t="str">
        <f ca="1"/>
        <v>AR2</v>
      </c>
      <c r="I2" s="23" t="str">
        <f ca="1"/>
        <v>AS2</v>
      </c>
      <c r="J2" s="23" t="str">
        <f ca="1"/>
        <v/>
      </c>
      <c r="K2" s="23" t="str">
        <f ca="1"/>
        <v/>
      </c>
      <c r="L2" s="23" t="str">
        <f ca="1"/>
        <v/>
      </c>
      <c r="M2" s="23" t="str">
        <f ca="1"/>
        <v/>
      </c>
      <c r="N2" s="23" t="str">
        <f ca="1"/>
        <v/>
      </c>
      <c r="O2" s="23" t="str">
        <f ca="1"/>
        <v/>
      </c>
      <c r="P2" s="23" t="str">
        <f ca="1"/>
        <v/>
      </c>
      <c r="Q2" s="23" t="str">
        <f ca="1"/>
        <v/>
      </c>
      <c r="R2" s="23"/>
      <c r="S2" s="23"/>
      <c r="T2" s="23"/>
      <c r="U2" s="23"/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L2" s="23">
        <v>2</v>
      </c>
      <c r="AM2" s="23">
        <v>2</v>
      </c>
      <c r="AN2" s="23">
        <v>2</v>
      </c>
      <c r="AO2" s="23">
        <v>2</v>
      </c>
      <c r="AP2" s="23">
        <v>2</v>
      </c>
      <c r="AQ2" s="23">
        <v>2</v>
      </c>
      <c r="AR2" s="23">
        <v>2</v>
      </c>
      <c r="AS2" s="23">
        <v>2</v>
      </c>
      <c r="AT2" s="23">
        <v>2</v>
      </c>
      <c r="AU2" s="23">
        <v>2</v>
      </c>
      <c r="AV2" s="23">
        <v>2</v>
      </c>
      <c r="AW2" s="23">
        <v>2</v>
      </c>
      <c r="AX2" s="23">
        <v>2</v>
      </c>
      <c r="AY2" s="23">
        <v>2</v>
      </c>
      <c r="AZ2" s="23">
        <v>2</v>
      </c>
      <c r="BA2" s="23">
        <v>2</v>
      </c>
      <c r="BB2" s="23">
        <v>2</v>
      </c>
      <c r="BC2" s="23">
        <v>2</v>
      </c>
      <c r="BD2" s="23">
        <v>2</v>
      </c>
      <c r="BE2" s="23">
        <v>2</v>
      </c>
    </row>
    <row r="3" spans="2:57">
      <c r="B3" s="23" t="str">
        <f ca="1"/>
        <v>AL3</v>
      </c>
      <c r="C3" s="23" t="str">
        <f ca="1"/>
        <v>AM3</v>
      </c>
      <c r="D3" s="23" t="str">
        <f ca="1"/>
        <v>AN3</v>
      </c>
      <c r="E3" s="23" t="str">
        <f ca="1"/>
        <v>AO3</v>
      </c>
      <c r="F3" s="23" t="str">
        <f ca="1"/>
        <v>AP3</v>
      </c>
      <c r="G3" s="23" t="str">
        <f ca="1"/>
        <v>AQ3</v>
      </c>
      <c r="H3" s="23" t="str">
        <f ca="1"/>
        <v>AR3</v>
      </c>
      <c r="I3" s="23" t="str">
        <f ca="1"/>
        <v>AS3</v>
      </c>
      <c r="J3" s="23" t="str">
        <f ca="1"/>
        <v>AT3</v>
      </c>
      <c r="K3" s="23" t="str">
        <f ca="1"/>
        <v/>
      </c>
      <c r="L3" s="23" t="str">
        <f ca="1"/>
        <v/>
      </c>
      <c r="M3" s="23" t="str">
        <f ca="1"/>
        <v/>
      </c>
      <c r="N3" s="23" t="str">
        <f ca="1"/>
        <v/>
      </c>
      <c r="O3" s="23" t="str">
        <f ca="1"/>
        <v/>
      </c>
      <c r="P3" s="23" t="str">
        <f ca="1"/>
        <v/>
      </c>
      <c r="Q3" s="23" t="str">
        <f ca="1"/>
        <v/>
      </c>
      <c r="R3" s="23"/>
      <c r="S3" s="23"/>
      <c r="T3" s="23"/>
      <c r="U3" s="23"/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  <c r="AL3" s="23">
        <v>2</v>
      </c>
      <c r="AM3" s="23">
        <v>2</v>
      </c>
      <c r="AN3" s="23">
        <v>2</v>
      </c>
      <c r="AO3" s="23">
        <v>2</v>
      </c>
      <c r="AP3" s="23">
        <v>2</v>
      </c>
      <c r="AQ3" s="23">
        <v>2</v>
      </c>
      <c r="AR3" s="23">
        <v>2</v>
      </c>
      <c r="AS3" s="23">
        <v>2</v>
      </c>
      <c r="AT3" s="23">
        <v>2</v>
      </c>
      <c r="AU3" s="23">
        <v>2</v>
      </c>
      <c r="AV3" s="23">
        <v>2</v>
      </c>
      <c r="AW3" s="23">
        <v>2</v>
      </c>
      <c r="AX3" s="23">
        <v>2</v>
      </c>
      <c r="AY3" s="23">
        <v>2</v>
      </c>
      <c r="AZ3" s="23">
        <v>2</v>
      </c>
      <c r="BA3" s="23">
        <v>2</v>
      </c>
      <c r="BB3" s="23">
        <v>2</v>
      </c>
      <c r="BC3" s="23">
        <v>2</v>
      </c>
      <c r="BD3" s="23">
        <v>2</v>
      </c>
      <c r="BE3" s="23">
        <v>2</v>
      </c>
    </row>
    <row r="4" spans="2:57">
      <c r="B4" s="23" t="str">
        <f ca="1"/>
        <v>AL4</v>
      </c>
      <c r="C4" s="23" t="str">
        <f ca="1"/>
        <v>AM4</v>
      </c>
      <c r="D4" s="23" t="str">
        <f ca="1"/>
        <v>AN4</v>
      </c>
      <c r="E4" s="23" t="str">
        <f ca="1"/>
        <v>AO4</v>
      </c>
      <c r="F4" s="23" t="str">
        <f ca="1"/>
        <v>AP4</v>
      </c>
      <c r="G4" s="23" t="str">
        <f ca="1"/>
        <v>AQ4</v>
      </c>
      <c r="H4" s="23" t="str">
        <f ca="1"/>
        <v>AR4</v>
      </c>
      <c r="I4" s="23" t="str">
        <f ca="1"/>
        <v>AS4</v>
      </c>
      <c r="J4" s="23" t="str">
        <f ca="1"/>
        <v>AT4</v>
      </c>
      <c r="K4" s="23" t="str">
        <f ca="1"/>
        <v>AU4</v>
      </c>
      <c r="L4" s="23" t="str">
        <f ca="1"/>
        <v/>
      </c>
      <c r="M4" s="23" t="str">
        <f ca="1"/>
        <v/>
      </c>
      <c r="N4" s="23" t="str">
        <f ca="1"/>
        <v/>
      </c>
      <c r="O4" s="23" t="str">
        <f ca="1"/>
        <v/>
      </c>
      <c r="P4" s="23" t="str">
        <f ca="1"/>
        <v/>
      </c>
      <c r="Q4" s="23" t="str">
        <f ca="1"/>
        <v/>
      </c>
      <c r="R4" s="23"/>
      <c r="S4" s="23"/>
      <c r="T4" s="23"/>
      <c r="U4" s="23"/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  <c r="AL4" s="23">
        <v>2</v>
      </c>
      <c r="AM4" s="23">
        <v>2</v>
      </c>
      <c r="AN4" s="23">
        <v>2</v>
      </c>
      <c r="AO4" s="23">
        <v>2</v>
      </c>
      <c r="AP4" s="23">
        <v>2</v>
      </c>
      <c r="AQ4" s="23">
        <v>2</v>
      </c>
      <c r="AR4" s="23">
        <v>2</v>
      </c>
      <c r="AS4" s="23">
        <v>2</v>
      </c>
      <c r="AT4" s="23">
        <v>2</v>
      </c>
      <c r="AU4" s="23">
        <v>2</v>
      </c>
      <c r="AV4" s="23">
        <v>2</v>
      </c>
      <c r="AW4" s="23">
        <v>2</v>
      </c>
      <c r="AX4" s="23">
        <v>2</v>
      </c>
      <c r="AY4" s="23">
        <v>2</v>
      </c>
      <c r="AZ4" s="23">
        <v>2</v>
      </c>
      <c r="BA4" s="23">
        <v>2</v>
      </c>
      <c r="BB4" s="23">
        <v>2</v>
      </c>
      <c r="BC4" s="23">
        <v>2</v>
      </c>
      <c r="BD4" s="23">
        <v>2</v>
      </c>
      <c r="BE4" s="23">
        <v>2</v>
      </c>
    </row>
    <row r="5" spans="2:57">
      <c r="B5" s="23" t="str">
        <f ca="1"/>
        <v>AL5</v>
      </c>
      <c r="C5" s="23" t="str">
        <f ca="1"/>
        <v>AM5</v>
      </c>
      <c r="D5" s="23" t="str">
        <f ca="1"/>
        <v>AN5</v>
      </c>
      <c r="E5" s="23" t="str">
        <f ca="1"/>
        <v>AO5</v>
      </c>
      <c r="F5" s="23" t="str">
        <f ca="1"/>
        <v>AP5</v>
      </c>
      <c r="G5" s="23" t="str">
        <f ca="1"/>
        <v>AQ5</v>
      </c>
      <c r="H5" s="23" t="str">
        <f ca="1"/>
        <v>AR5</v>
      </c>
      <c r="I5" s="23" t="str">
        <f ca="1"/>
        <v>AS5</v>
      </c>
      <c r="J5" s="23" t="str">
        <f ca="1"/>
        <v>AT5</v>
      </c>
      <c r="K5" s="23" t="str">
        <f ca="1"/>
        <v>AU5</v>
      </c>
      <c r="L5" s="23" t="str">
        <f ca="1"/>
        <v>AV5</v>
      </c>
      <c r="M5" s="23" t="str">
        <f ca="1"/>
        <v/>
      </c>
      <c r="N5" s="23" t="str">
        <f ca="1"/>
        <v/>
      </c>
      <c r="O5" s="23" t="str">
        <f ca="1"/>
        <v/>
      </c>
      <c r="P5" s="23" t="str">
        <f ca="1"/>
        <v/>
      </c>
      <c r="Q5" s="23" t="str">
        <f ca="1"/>
        <v/>
      </c>
      <c r="R5" s="23"/>
      <c r="S5" s="23"/>
      <c r="T5" s="23"/>
      <c r="U5" s="23"/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  <c r="AL5" s="23">
        <v>2</v>
      </c>
      <c r="AM5" s="23">
        <v>2</v>
      </c>
      <c r="AN5" s="23">
        <v>2</v>
      </c>
      <c r="AO5" s="23">
        <v>2</v>
      </c>
      <c r="AP5" s="23">
        <v>2</v>
      </c>
      <c r="AQ5" s="23">
        <v>2</v>
      </c>
      <c r="AR5" s="23">
        <v>2</v>
      </c>
      <c r="AS5" s="23">
        <v>2</v>
      </c>
      <c r="AT5" s="23">
        <v>2</v>
      </c>
      <c r="AU5" s="23">
        <v>2</v>
      </c>
      <c r="AV5" s="23">
        <v>2</v>
      </c>
      <c r="AW5" s="23">
        <v>2</v>
      </c>
      <c r="AX5" s="23">
        <v>2</v>
      </c>
      <c r="AY5" s="23">
        <v>2</v>
      </c>
      <c r="AZ5" s="23">
        <v>2</v>
      </c>
      <c r="BA5" s="23">
        <v>2</v>
      </c>
      <c r="BB5" s="23">
        <v>2</v>
      </c>
      <c r="BC5" s="23">
        <v>2</v>
      </c>
      <c r="BD5" s="23">
        <v>2</v>
      </c>
      <c r="BE5" s="23">
        <v>2</v>
      </c>
    </row>
    <row r="6" spans="2:57">
      <c r="B6" s="23" t="str">
        <f ca="1"/>
        <v>AL6</v>
      </c>
      <c r="C6" s="23" t="str">
        <f ca="1"/>
        <v>AM6</v>
      </c>
      <c r="D6" s="23" t="str">
        <f ca="1"/>
        <v>AN6</v>
      </c>
      <c r="E6" s="23" t="str">
        <f ca="1"/>
        <v>AO6</v>
      </c>
      <c r="F6" s="23" t="str">
        <f ca="1"/>
        <v>AP6</v>
      </c>
      <c r="G6" s="23" t="str">
        <f ca="1"/>
        <v>AQ6</v>
      </c>
      <c r="H6" s="23" t="str">
        <f ca="1"/>
        <v>AR6</v>
      </c>
      <c r="I6" s="23" t="str">
        <f ca="1"/>
        <v>AS6</v>
      </c>
      <c r="J6" s="23" t="str">
        <f ca="1"/>
        <v>AT6</v>
      </c>
      <c r="K6" s="23" t="str">
        <f ca="1"/>
        <v>AU6</v>
      </c>
      <c r="L6" s="23" t="str">
        <f ca="1"/>
        <v>AV6</v>
      </c>
      <c r="M6" s="23" t="str">
        <f ca="1"/>
        <v>AW6</v>
      </c>
      <c r="N6" s="23" t="str">
        <f ca="1"/>
        <v/>
      </c>
      <c r="O6" s="23" t="str">
        <f ca="1"/>
        <v/>
      </c>
      <c r="P6" s="23" t="str">
        <f ca="1"/>
        <v/>
      </c>
      <c r="Q6" s="23" t="str">
        <f ca="1"/>
        <v/>
      </c>
      <c r="R6" s="23"/>
      <c r="S6" s="23"/>
      <c r="T6" s="23"/>
      <c r="U6" s="23"/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  <c r="AL6" s="23">
        <v>2</v>
      </c>
      <c r="AM6" s="23">
        <v>2</v>
      </c>
      <c r="AN6" s="23">
        <v>2</v>
      </c>
      <c r="AO6" s="23">
        <v>2</v>
      </c>
      <c r="AP6" s="23">
        <v>2</v>
      </c>
      <c r="AQ6" s="23">
        <v>2</v>
      </c>
      <c r="AR6" s="23">
        <v>2</v>
      </c>
      <c r="AS6" s="23">
        <v>2</v>
      </c>
      <c r="AT6" s="23">
        <v>2</v>
      </c>
      <c r="AU6" s="23">
        <v>2</v>
      </c>
      <c r="AV6" s="23">
        <v>2</v>
      </c>
      <c r="AW6" s="23">
        <v>2</v>
      </c>
      <c r="AX6" s="23">
        <v>2</v>
      </c>
      <c r="AY6" s="23">
        <v>2</v>
      </c>
      <c r="AZ6" s="23">
        <v>2</v>
      </c>
      <c r="BA6" s="23">
        <v>2</v>
      </c>
      <c r="BB6" s="23">
        <v>2</v>
      </c>
      <c r="BC6" s="23">
        <v>2</v>
      </c>
      <c r="BD6" s="23">
        <v>2</v>
      </c>
      <c r="BE6" s="23">
        <v>2</v>
      </c>
    </row>
    <row r="7" spans="2:57">
      <c r="B7" s="23" t="str">
        <f ca="1"/>
        <v>AL7</v>
      </c>
      <c r="C7" s="23" t="str">
        <f ca="1"/>
        <v>AM7</v>
      </c>
      <c r="D7" s="23" t="str">
        <f ca="1"/>
        <v>AN7</v>
      </c>
      <c r="E7" s="23" t="str">
        <f ca="1"/>
        <v>AO7</v>
      </c>
      <c r="F7" s="23" t="str">
        <f ca="1"/>
        <v>AP7</v>
      </c>
      <c r="G7" s="23" t="str">
        <f ca="1"/>
        <v>AQ7</v>
      </c>
      <c r="H7" s="23" t="str">
        <f ca="1"/>
        <v>AR7</v>
      </c>
      <c r="I7" s="23" t="str">
        <f ca="1"/>
        <v>AS7</v>
      </c>
      <c r="J7" s="23" t="str">
        <f ca="1"/>
        <v>AT7</v>
      </c>
      <c r="K7" s="23" t="str">
        <f ca="1"/>
        <v>AU7</v>
      </c>
      <c r="L7" s="23" t="str">
        <f ca="1"/>
        <v>AV7</v>
      </c>
      <c r="M7" s="23" t="str">
        <f ca="1"/>
        <v>AW7</v>
      </c>
      <c r="N7" s="23" t="str">
        <f ca="1"/>
        <v>AX7</v>
      </c>
      <c r="O7" s="23" t="str">
        <f ca="1"/>
        <v/>
      </c>
      <c r="P7" s="23" t="str">
        <f ca="1"/>
        <v/>
      </c>
      <c r="Q7" s="23" t="str">
        <f ca="1"/>
        <v/>
      </c>
      <c r="R7" s="23"/>
      <c r="S7" s="23"/>
      <c r="T7" s="23"/>
      <c r="U7" s="23"/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  <c r="AL7" s="23">
        <v>2</v>
      </c>
      <c r="AM7" s="23">
        <v>2</v>
      </c>
      <c r="AN7" s="23">
        <v>2</v>
      </c>
      <c r="AO7" s="23">
        <v>2</v>
      </c>
      <c r="AP7" s="23">
        <v>2</v>
      </c>
      <c r="AQ7" s="23">
        <v>2</v>
      </c>
      <c r="AR7" s="23">
        <v>2</v>
      </c>
      <c r="AS7" s="23">
        <v>2</v>
      </c>
      <c r="AT7" s="23">
        <v>2</v>
      </c>
      <c r="AU7" s="23">
        <v>2</v>
      </c>
      <c r="AV7" s="23">
        <v>2</v>
      </c>
      <c r="AW7" s="23">
        <v>2</v>
      </c>
      <c r="AX7" s="23">
        <v>2</v>
      </c>
      <c r="AY7" s="23">
        <v>2</v>
      </c>
      <c r="AZ7" s="23">
        <v>2</v>
      </c>
      <c r="BA7" s="23">
        <v>2</v>
      </c>
      <c r="BB7" s="23">
        <v>2</v>
      </c>
      <c r="BC7" s="23">
        <v>2</v>
      </c>
      <c r="BD7" s="23">
        <v>2</v>
      </c>
      <c r="BE7" s="23">
        <v>2</v>
      </c>
    </row>
    <row r="8" spans="2:57">
      <c r="B8" s="23" t="str">
        <f ca="1"/>
        <v>AL8</v>
      </c>
      <c r="C8" s="23" t="str">
        <f ca="1"/>
        <v>AM8</v>
      </c>
      <c r="D8" s="23" t="str">
        <f ca="1"/>
        <v>AN8</v>
      </c>
      <c r="E8" s="23" t="str">
        <f ca="1"/>
        <v>AO8</v>
      </c>
      <c r="F8" s="23" t="str">
        <f ca="1"/>
        <v>AP8</v>
      </c>
      <c r="G8" s="23" t="str">
        <f ca="1"/>
        <v>AQ8</v>
      </c>
      <c r="H8" s="23" t="str">
        <f ca="1"/>
        <v>AR8</v>
      </c>
      <c r="I8" s="23" t="str">
        <f ca="1"/>
        <v>AS8</v>
      </c>
      <c r="J8" s="23" t="str">
        <f ca="1"/>
        <v>AT8</v>
      </c>
      <c r="K8" s="23" t="str">
        <f ca="1"/>
        <v>AU8</v>
      </c>
      <c r="L8" s="23" t="str">
        <f ca="1"/>
        <v>AV8</v>
      </c>
      <c r="M8" s="23" t="str">
        <f ca="1"/>
        <v>AW8</v>
      </c>
      <c r="N8" s="23" t="str">
        <f ca="1"/>
        <v>AX8</v>
      </c>
      <c r="O8" s="23" t="str">
        <f ca="1"/>
        <v>AY8</v>
      </c>
      <c r="P8" s="23" t="str">
        <f ca="1"/>
        <v/>
      </c>
      <c r="Q8" s="23" t="str">
        <f ca="1"/>
        <v/>
      </c>
      <c r="R8" s="23"/>
      <c r="S8" s="23"/>
      <c r="T8" s="23"/>
      <c r="U8" s="23"/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  <c r="AL8" s="23">
        <v>2</v>
      </c>
      <c r="AM8" s="23">
        <v>2</v>
      </c>
      <c r="AN8" s="23">
        <v>2</v>
      </c>
      <c r="AO8" s="23">
        <v>2</v>
      </c>
      <c r="AP8" s="23">
        <v>2</v>
      </c>
      <c r="AQ8" s="23">
        <v>2</v>
      </c>
      <c r="AR8" s="23">
        <v>2</v>
      </c>
      <c r="AS8" s="23">
        <v>2</v>
      </c>
      <c r="AT8" s="23">
        <v>2</v>
      </c>
      <c r="AU8" s="23">
        <v>2</v>
      </c>
      <c r="AV8" s="23">
        <v>2</v>
      </c>
      <c r="AW8" s="23">
        <v>2</v>
      </c>
      <c r="AX8" s="23">
        <v>2</v>
      </c>
      <c r="AY8" s="23">
        <v>2</v>
      </c>
      <c r="AZ8" s="23">
        <v>2</v>
      </c>
      <c r="BA8" s="23">
        <v>2</v>
      </c>
      <c r="BB8" s="23">
        <v>2</v>
      </c>
      <c r="BC8" s="23">
        <v>2</v>
      </c>
      <c r="BD8" s="23">
        <v>2</v>
      </c>
      <c r="BE8" s="23">
        <v>2</v>
      </c>
    </row>
    <row r="9" spans="2:57">
      <c r="B9" s="23" t="str">
        <f ca="1"/>
        <v>AL9</v>
      </c>
      <c r="C9" s="23" t="str">
        <f ca="1"/>
        <v>AM9</v>
      </c>
      <c r="D9" s="23" t="str">
        <f ca="1"/>
        <v>AN9</v>
      </c>
      <c r="E9" s="23" t="str">
        <f ca="1"/>
        <v>AO9</v>
      </c>
      <c r="F9" s="23" t="str">
        <f ca="1"/>
        <v>AP9</v>
      </c>
      <c r="G9" s="23" t="str">
        <f ca="1"/>
        <v>AQ9</v>
      </c>
      <c r="H9" s="23" t="str">
        <f ca="1"/>
        <v>AR9</v>
      </c>
      <c r="I9" s="23" t="str">
        <f ca="1"/>
        <v>AS9</v>
      </c>
      <c r="J9" s="23" t="str">
        <f ca="1"/>
        <v>AT9</v>
      </c>
      <c r="K9" s="23" t="str">
        <f ca="1"/>
        <v>AU9</v>
      </c>
      <c r="L9" s="23" t="str">
        <f ca="1"/>
        <v>AV9</v>
      </c>
      <c r="M9" s="23" t="str">
        <f ca="1"/>
        <v>AW9</v>
      </c>
      <c r="N9" s="23" t="str">
        <f ca="1"/>
        <v>AX9</v>
      </c>
      <c r="O9" s="23" t="str">
        <f ca="1"/>
        <v>AY9</v>
      </c>
      <c r="P9" s="23" t="str">
        <f ca="1"/>
        <v>AZ9</v>
      </c>
      <c r="Q9" s="23" t="str">
        <f ca="1"/>
        <v/>
      </c>
      <c r="R9" s="23"/>
      <c r="S9" s="23"/>
      <c r="T9" s="23"/>
      <c r="U9" s="23"/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2</v>
      </c>
      <c r="AR9" s="23">
        <v>2</v>
      </c>
      <c r="AS9" s="23">
        <v>2</v>
      </c>
      <c r="AT9" s="23">
        <v>2</v>
      </c>
      <c r="AU9" s="23">
        <v>2</v>
      </c>
      <c r="AV9" s="23">
        <v>2</v>
      </c>
      <c r="AW9" s="23">
        <v>2</v>
      </c>
      <c r="AX9" s="23">
        <v>2</v>
      </c>
      <c r="AY9" s="23">
        <v>2</v>
      </c>
      <c r="AZ9" s="23">
        <v>2</v>
      </c>
      <c r="BA9" s="23">
        <v>2</v>
      </c>
      <c r="BB9" s="23">
        <v>2</v>
      </c>
      <c r="BC9" s="23">
        <v>2</v>
      </c>
      <c r="BD9" s="23">
        <v>2</v>
      </c>
      <c r="BE9" s="23">
        <v>2</v>
      </c>
    </row>
    <row r="10" spans="2:57">
      <c r="B10" s="23" t="str">
        <f ca="1"/>
        <v>AL10</v>
      </c>
      <c r="C10" s="23" t="str">
        <f ca="1"/>
        <v>AM10</v>
      </c>
      <c r="D10" s="23" t="str">
        <f ca="1"/>
        <v>AN10</v>
      </c>
      <c r="E10" s="23" t="str">
        <f ca="1"/>
        <v>AO10</v>
      </c>
      <c r="F10" s="23" t="str">
        <f ca="1"/>
        <v>AP10</v>
      </c>
      <c r="G10" s="23" t="str">
        <f ca="1"/>
        <v>AQ10</v>
      </c>
      <c r="H10" s="23" t="str">
        <f ca="1"/>
        <v>AR10</v>
      </c>
      <c r="I10" s="23" t="str">
        <f ca="1"/>
        <v>AS10</v>
      </c>
      <c r="J10" s="23" t="str">
        <f ca="1"/>
        <v>AT10</v>
      </c>
      <c r="K10" s="23" t="str">
        <f ca="1"/>
        <v>AU10</v>
      </c>
      <c r="L10" s="23" t="str">
        <f ca="1"/>
        <v>AV10</v>
      </c>
      <c r="M10" s="23" t="str">
        <f ca="1"/>
        <v>AW10</v>
      </c>
      <c r="N10" s="23" t="str">
        <f ca="1"/>
        <v>AX10</v>
      </c>
      <c r="O10" s="23" t="str">
        <f ca="1"/>
        <v>AY10</v>
      </c>
      <c r="P10" s="23" t="str">
        <f ca="1"/>
        <v>AZ10</v>
      </c>
      <c r="Q10" s="23" t="str">
        <f ca="1"/>
        <v>BA10</v>
      </c>
      <c r="R10" s="23"/>
      <c r="S10" s="23"/>
      <c r="T10" s="23"/>
      <c r="U10" s="23"/>
      <c r="AL10" s="23">
        <v>2</v>
      </c>
      <c r="AM10" s="23">
        <v>2</v>
      </c>
      <c r="AN10" s="23">
        <v>2</v>
      </c>
      <c r="AO10" s="23">
        <v>2</v>
      </c>
      <c r="AP10" s="23">
        <v>2</v>
      </c>
      <c r="AQ10" s="23">
        <v>2</v>
      </c>
      <c r="AR10" s="23">
        <v>2</v>
      </c>
      <c r="AS10" s="23">
        <v>2</v>
      </c>
      <c r="AT10" s="23">
        <v>2</v>
      </c>
      <c r="AU10" s="23">
        <v>2</v>
      </c>
      <c r="AV10" s="23">
        <v>2</v>
      </c>
      <c r="AW10" s="23">
        <v>2</v>
      </c>
      <c r="AX10" s="23">
        <v>2</v>
      </c>
      <c r="AY10" s="23">
        <v>2</v>
      </c>
      <c r="AZ10" s="23">
        <v>2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</row>
    <row r="11" spans="2:57">
      <c r="B11" s="23" t="str">
        <f ca="1"/>
        <v>AL11</v>
      </c>
      <c r="C11" s="23" t="str">
        <f ca="1"/>
        <v>AM11</v>
      </c>
      <c r="D11" s="23" t="str">
        <f ca="1"/>
        <v>AN11</v>
      </c>
      <c r="E11" s="23" t="str">
        <f ca="1"/>
        <v>AO11</v>
      </c>
      <c r="F11" s="23" t="str">
        <f ca="1"/>
        <v>AP11</v>
      </c>
      <c r="G11" s="23" t="str">
        <f ca="1"/>
        <v>AQ11</v>
      </c>
      <c r="H11" s="23" t="str">
        <f ca="1"/>
        <v>AR11</v>
      </c>
      <c r="I11" s="23" t="str">
        <f ca="1"/>
        <v>AS11</v>
      </c>
      <c r="J11" s="23" t="str">
        <f ca="1"/>
        <v>AT11</v>
      </c>
      <c r="K11" s="23" t="str">
        <f ca="1"/>
        <v>AU11</v>
      </c>
      <c r="L11" s="23" t="str">
        <f ca="1"/>
        <v>AV11</v>
      </c>
      <c r="M11" s="23" t="str">
        <f ca="1"/>
        <v>AW11</v>
      </c>
      <c r="N11" s="23" t="str">
        <f ca="1"/>
        <v>AX11</v>
      </c>
      <c r="O11" s="23" t="str">
        <f ca="1"/>
        <v>AY11</v>
      </c>
      <c r="P11" s="23" t="str">
        <f ca="1"/>
        <v>AZ11</v>
      </c>
      <c r="Q11" s="23" t="str">
        <f ca="1"/>
        <v/>
      </c>
      <c r="R11" s="23"/>
      <c r="S11" s="23"/>
      <c r="T11" s="23"/>
      <c r="U11" s="23"/>
      <c r="AA11" t="s">
        <v>298</v>
      </c>
      <c r="AL11" s="23">
        <v>2</v>
      </c>
      <c r="AM11" s="23">
        <v>2</v>
      </c>
      <c r="AN11" s="23">
        <v>2</v>
      </c>
      <c r="AO11" s="23">
        <v>2</v>
      </c>
      <c r="AP11" s="23">
        <v>2</v>
      </c>
      <c r="AQ11" s="23">
        <v>2</v>
      </c>
      <c r="AR11" s="23">
        <v>2</v>
      </c>
      <c r="AS11" s="23">
        <v>2</v>
      </c>
      <c r="AT11" s="23">
        <v>2</v>
      </c>
      <c r="AU11" s="23">
        <v>2</v>
      </c>
      <c r="AV11" s="23">
        <v>2</v>
      </c>
      <c r="AW11" s="23">
        <v>2</v>
      </c>
      <c r="AX11" s="23">
        <v>2</v>
      </c>
      <c r="AY11" s="23">
        <v>2</v>
      </c>
      <c r="AZ11" s="23">
        <v>2</v>
      </c>
      <c r="BA11" s="23">
        <v>2</v>
      </c>
      <c r="BB11" s="23">
        <v>2</v>
      </c>
      <c r="BC11" s="23">
        <v>2</v>
      </c>
      <c r="BD11" s="23">
        <v>2</v>
      </c>
      <c r="BE11" s="23">
        <v>2</v>
      </c>
    </row>
    <row r="12" spans="2:57">
      <c r="B12" s="23" t="str">
        <f ca="1"/>
        <v>AL12</v>
      </c>
      <c r="C12" s="23" t="str">
        <f ca="1"/>
        <v>AM12</v>
      </c>
      <c r="D12" s="23" t="str">
        <f ca="1"/>
        <v>AN12</v>
      </c>
      <c r="E12" s="23" t="str">
        <f ca="1"/>
        <v>AO12</v>
      </c>
      <c r="F12" s="23" t="str">
        <f ca="1"/>
        <v>AP12</v>
      </c>
      <c r="G12" s="23" t="str">
        <f ca="1"/>
        <v>AQ12</v>
      </c>
      <c r="H12" s="23" t="str">
        <f ca="1"/>
        <v>AR12</v>
      </c>
      <c r="I12" s="23" t="str">
        <f ca="1"/>
        <v>AS12</v>
      </c>
      <c r="J12" s="23" t="str">
        <f ca="1"/>
        <v>AT12</v>
      </c>
      <c r="K12" s="23" t="str">
        <f ca="1"/>
        <v>AU12</v>
      </c>
      <c r="L12" s="23" t="str">
        <f ca="1"/>
        <v>AV12</v>
      </c>
      <c r="M12" s="23" t="str">
        <f ca="1"/>
        <v>AW12</v>
      </c>
      <c r="N12" s="23" t="str">
        <f ca="1"/>
        <v>AX12</v>
      </c>
      <c r="O12" s="23" t="str">
        <f ca="1"/>
        <v>AY12</v>
      </c>
      <c r="P12" s="23" t="str">
        <f ca="1"/>
        <v/>
      </c>
      <c r="Q12" s="23" t="str">
        <f ca="1"/>
        <v/>
      </c>
      <c r="R12" s="23"/>
      <c r="S12" s="23"/>
      <c r="T12" s="23"/>
      <c r="U12" s="23"/>
      <c r="AA12">
        <v>12</v>
      </c>
      <c r="AL12" s="23">
        <v>2</v>
      </c>
      <c r="AM12" s="23">
        <v>2</v>
      </c>
      <c r="AN12" s="23">
        <v>2</v>
      </c>
      <c r="AO12" s="23">
        <v>2</v>
      </c>
      <c r="AP12" s="23">
        <v>2</v>
      </c>
      <c r="AQ12" s="23">
        <v>2</v>
      </c>
      <c r="AR12" s="23">
        <v>2</v>
      </c>
      <c r="AS12" s="23">
        <v>2</v>
      </c>
      <c r="AT12" s="23">
        <v>2</v>
      </c>
      <c r="AU12" s="23">
        <v>2</v>
      </c>
      <c r="AV12" s="23">
        <v>2</v>
      </c>
      <c r="AW12" s="23">
        <v>2</v>
      </c>
      <c r="AX12" s="23">
        <v>2</v>
      </c>
      <c r="AY12" s="23">
        <v>2</v>
      </c>
      <c r="AZ12" s="23">
        <v>2</v>
      </c>
      <c r="BA12" s="23">
        <v>2</v>
      </c>
      <c r="BB12" s="23">
        <v>2</v>
      </c>
      <c r="BC12" s="23">
        <v>2</v>
      </c>
      <c r="BD12" s="23">
        <v>2</v>
      </c>
      <c r="BE12" s="23">
        <v>2</v>
      </c>
    </row>
    <row r="13" spans="2:57">
      <c r="B13" s="23" t="str">
        <f ca="1"/>
        <v>AL13</v>
      </c>
      <c r="C13" s="23" t="str">
        <f ca="1"/>
        <v>AM13</v>
      </c>
      <c r="D13" s="23" t="str">
        <f ca="1"/>
        <v>AN13</v>
      </c>
      <c r="E13" s="23" t="str">
        <f ca="1"/>
        <v>AO13</v>
      </c>
      <c r="F13" s="23" t="str">
        <f ca="1"/>
        <v>AP13</v>
      </c>
      <c r="G13" s="23" t="str">
        <f ca="1"/>
        <v>AQ13</v>
      </c>
      <c r="H13" s="23" t="str">
        <f ca="1"/>
        <v>AR13</v>
      </c>
      <c r="I13" s="23" t="str">
        <f ca="1"/>
        <v>AS13</v>
      </c>
      <c r="J13" s="23" t="str">
        <f ca="1"/>
        <v>AT13</v>
      </c>
      <c r="K13" s="23" t="str">
        <f ca="1"/>
        <v>AU13</v>
      </c>
      <c r="L13" s="23" t="str">
        <f ca="1"/>
        <v>AV13</v>
      </c>
      <c r="M13" s="23" t="str">
        <f ca="1"/>
        <v>AW13</v>
      </c>
      <c r="N13" s="23" t="str">
        <f ca="1"/>
        <v>AX13</v>
      </c>
      <c r="O13" s="23" t="str">
        <f ca="1"/>
        <v/>
      </c>
      <c r="P13" s="23" t="str">
        <f ca="1"/>
        <v/>
      </c>
      <c r="Q13" s="23" t="str">
        <f ca="1"/>
        <v/>
      </c>
      <c r="R13" s="23"/>
      <c r="S13" s="23"/>
      <c r="T13" s="23"/>
      <c r="U13" s="23"/>
      <c r="AA13">
        <v>2</v>
      </c>
      <c r="AL13" s="23">
        <v>2</v>
      </c>
      <c r="AM13" s="23">
        <v>2</v>
      </c>
      <c r="AN13" s="23">
        <v>2</v>
      </c>
      <c r="AO13" s="23">
        <v>2</v>
      </c>
      <c r="AP13" s="23">
        <v>2</v>
      </c>
      <c r="AQ13" s="23">
        <v>2</v>
      </c>
      <c r="AR13" s="23">
        <v>2</v>
      </c>
      <c r="AS13" s="23">
        <v>2</v>
      </c>
      <c r="AT13" s="23">
        <v>2</v>
      </c>
      <c r="AU13" s="23">
        <v>2</v>
      </c>
      <c r="AV13" s="23">
        <v>2</v>
      </c>
      <c r="AW13" s="23">
        <v>2</v>
      </c>
      <c r="AX13" s="23">
        <v>2</v>
      </c>
      <c r="AY13" s="23">
        <v>2</v>
      </c>
      <c r="AZ13" s="23">
        <v>2</v>
      </c>
      <c r="BA13" s="23">
        <v>2</v>
      </c>
      <c r="BB13" s="23">
        <v>2</v>
      </c>
      <c r="BC13" s="23">
        <v>2</v>
      </c>
      <c r="BD13" s="23">
        <v>2</v>
      </c>
      <c r="BE13" s="23">
        <v>2</v>
      </c>
    </row>
    <row r="14" spans="2:57">
      <c r="B14" s="23" t="str">
        <f ca="1"/>
        <v>AL14</v>
      </c>
      <c r="C14" s="23" t="str">
        <f ca="1"/>
        <v>AM14</v>
      </c>
      <c r="D14" s="23" t="str">
        <f ca="1"/>
        <v>AN14</v>
      </c>
      <c r="E14" s="23" t="str">
        <f ca="1"/>
        <v>AO14</v>
      </c>
      <c r="F14" s="23" t="str">
        <f ca="1"/>
        <v>AP14</v>
      </c>
      <c r="G14" s="23" t="str">
        <f ca="1"/>
        <v>AQ14</v>
      </c>
      <c r="H14" s="23" t="str">
        <f ca="1"/>
        <v>AR14</v>
      </c>
      <c r="I14" s="23" t="str">
        <f ca="1"/>
        <v>AS14</v>
      </c>
      <c r="J14" s="23" t="str">
        <f ca="1"/>
        <v>AT14</v>
      </c>
      <c r="K14" s="23" t="str">
        <f ca="1"/>
        <v>AU14</v>
      </c>
      <c r="L14" s="23" t="str">
        <f ca="1"/>
        <v>AV14</v>
      </c>
      <c r="M14" s="23" t="str">
        <f ca="1"/>
        <v>AW14</v>
      </c>
      <c r="N14" s="23" t="str">
        <f ca="1"/>
        <v/>
      </c>
      <c r="O14" s="23" t="str">
        <f ca="1"/>
        <v/>
      </c>
      <c r="P14" s="23" t="str">
        <f ca="1"/>
        <v/>
      </c>
      <c r="Q14" s="23" t="str">
        <f ca="1"/>
        <v/>
      </c>
      <c r="R14" s="23"/>
      <c r="S14" s="23"/>
      <c r="T14" s="23"/>
      <c r="U14" s="23"/>
      <c r="AA14">
        <v>1</v>
      </c>
      <c r="AL14" s="23">
        <v>2</v>
      </c>
      <c r="AM14" s="23">
        <v>2</v>
      </c>
      <c r="AN14" s="23">
        <v>2</v>
      </c>
      <c r="AO14" s="23">
        <v>2</v>
      </c>
      <c r="AP14" s="23">
        <v>2</v>
      </c>
      <c r="AQ14" s="23">
        <v>2</v>
      </c>
      <c r="AR14" s="23">
        <v>2</v>
      </c>
      <c r="AS14" s="23">
        <v>2</v>
      </c>
      <c r="AT14" s="23">
        <v>2</v>
      </c>
      <c r="AU14" s="23">
        <v>2</v>
      </c>
      <c r="AV14" s="23">
        <v>2</v>
      </c>
      <c r="AW14" s="23">
        <v>2</v>
      </c>
      <c r="AX14" s="23">
        <v>2</v>
      </c>
      <c r="AY14" s="23">
        <v>2</v>
      </c>
      <c r="AZ14" s="23">
        <v>2</v>
      </c>
      <c r="BA14" s="23">
        <v>2</v>
      </c>
      <c r="BB14" s="23">
        <v>2</v>
      </c>
      <c r="BC14" s="23">
        <v>2</v>
      </c>
      <c r="BD14" s="23">
        <v>2</v>
      </c>
      <c r="BE14" s="23">
        <v>2</v>
      </c>
    </row>
    <row r="15" spans="2:57">
      <c r="B15" s="23" t="str">
        <f ca="1"/>
        <v>AL15</v>
      </c>
      <c r="C15" s="23" t="str">
        <f ca="1"/>
        <v>AM15</v>
      </c>
      <c r="D15" s="23" t="str">
        <f ca="1"/>
        <v>AN15</v>
      </c>
      <c r="E15" s="23" t="str">
        <f ca="1"/>
        <v>AO15</v>
      </c>
      <c r="F15" s="23" t="str">
        <f ca="1"/>
        <v>AP15</v>
      </c>
      <c r="G15" s="23" t="str">
        <f ca="1"/>
        <v>AQ15</v>
      </c>
      <c r="H15" s="23" t="str">
        <f ca="1"/>
        <v>AR15</v>
      </c>
      <c r="I15" s="23" t="str">
        <f ca="1"/>
        <v>AS15</v>
      </c>
      <c r="J15" s="23" t="str">
        <f ca="1"/>
        <v>AT15</v>
      </c>
      <c r="K15" s="23" t="str">
        <f ca="1"/>
        <v>AU15</v>
      </c>
      <c r="L15" s="23" t="str">
        <f ca="1"/>
        <v>AV15</v>
      </c>
      <c r="M15" s="23" t="str">
        <f ca="1"/>
        <v/>
      </c>
      <c r="N15" s="23" t="str">
        <f ca="1"/>
        <v/>
      </c>
      <c r="O15" s="23" t="str">
        <f ca="1"/>
        <v/>
      </c>
      <c r="P15" s="23" t="str">
        <f ca="1"/>
        <v/>
      </c>
      <c r="Q15" s="23" t="str">
        <f ca="1"/>
        <v/>
      </c>
      <c r="R15" s="23"/>
      <c r="S15" s="23"/>
      <c r="T15" s="23"/>
      <c r="U15" s="23"/>
      <c r="AL15" s="23">
        <v>2</v>
      </c>
      <c r="AM15" s="23">
        <v>2</v>
      </c>
      <c r="AN15" s="23">
        <v>2</v>
      </c>
      <c r="AO15" s="23">
        <v>2</v>
      </c>
      <c r="AP15" s="23">
        <v>2</v>
      </c>
      <c r="AQ15" s="23">
        <v>2</v>
      </c>
      <c r="AR15" s="23">
        <v>2</v>
      </c>
      <c r="AS15" s="23">
        <v>2</v>
      </c>
      <c r="AT15" s="23">
        <v>2</v>
      </c>
      <c r="AU15" s="23">
        <v>2</v>
      </c>
      <c r="AV15" s="23">
        <v>2</v>
      </c>
      <c r="AW15" s="23">
        <v>2</v>
      </c>
      <c r="AX15" s="23">
        <v>2</v>
      </c>
      <c r="AY15" s="23">
        <v>2</v>
      </c>
      <c r="AZ15" s="23">
        <v>2</v>
      </c>
      <c r="BA15" s="23">
        <v>2</v>
      </c>
      <c r="BB15" s="23">
        <v>2</v>
      </c>
      <c r="BC15" s="23">
        <v>2</v>
      </c>
      <c r="BD15" s="23">
        <v>2</v>
      </c>
      <c r="BE15" s="23">
        <v>2</v>
      </c>
    </row>
    <row r="16" spans="2:57">
      <c r="B16" s="23" t="str">
        <f ca="1"/>
        <v>AL16</v>
      </c>
      <c r="C16" s="23" t="str">
        <f ca="1"/>
        <v>AM16</v>
      </c>
      <c r="D16" s="23" t="str">
        <f ca="1"/>
        <v>AN16</v>
      </c>
      <c r="E16" s="23" t="str">
        <f ca="1"/>
        <v>AO16</v>
      </c>
      <c r="F16" s="23" t="str">
        <f ca="1"/>
        <v>AP16</v>
      </c>
      <c r="G16" s="23" t="str">
        <f ca="1"/>
        <v>AQ16</v>
      </c>
      <c r="H16" s="23" t="str">
        <f ca="1"/>
        <v>AR16</v>
      </c>
      <c r="I16" s="23" t="str">
        <f ca="1"/>
        <v>AS16</v>
      </c>
      <c r="J16" s="23" t="str">
        <f ca="1"/>
        <v>AT16</v>
      </c>
      <c r="K16" s="23" t="str">
        <f ca="1"/>
        <v>AU16</v>
      </c>
      <c r="L16" s="23" t="str">
        <f ca="1"/>
        <v/>
      </c>
      <c r="M16" s="23" t="str">
        <f ca="1"/>
        <v/>
      </c>
      <c r="N16" s="23" t="str">
        <f ca="1"/>
        <v/>
      </c>
      <c r="O16" s="23" t="str">
        <f ca="1"/>
        <v/>
      </c>
      <c r="P16" s="23" t="str">
        <f ca="1"/>
        <v/>
      </c>
      <c r="Q16" s="23" t="str">
        <f ca="1"/>
        <v/>
      </c>
      <c r="R16" s="23"/>
      <c r="S16" s="23"/>
      <c r="T16" s="23"/>
      <c r="U16" s="23"/>
      <c r="AL16" s="23">
        <v>2</v>
      </c>
      <c r="AM16" s="23">
        <v>2</v>
      </c>
      <c r="AN16" s="23">
        <v>2</v>
      </c>
      <c r="AO16" s="23">
        <v>2</v>
      </c>
      <c r="AP16" s="23">
        <v>2</v>
      </c>
      <c r="AQ16" s="23">
        <v>2</v>
      </c>
      <c r="AR16" s="23">
        <v>2</v>
      </c>
      <c r="AS16" s="23">
        <v>2</v>
      </c>
      <c r="AT16" s="23">
        <v>2</v>
      </c>
      <c r="AU16" s="23">
        <v>2</v>
      </c>
      <c r="AV16" s="23">
        <v>2</v>
      </c>
      <c r="AW16" s="23">
        <v>2</v>
      </c>
      <c r="AX16" s="23">
        <v>2</v>
      </c>
      <c r="AY16" s="23">
        <v>2</v>
      </c>
      <c r="AZ16" s="23">
        <v>2</v>
      </c>
      <c r="BA16" s="23">
        <v>2</v>
      </c>
      <c r="BB16" s="23">
        <v>2</v>
      </c>
      <c r="BC16" s="23">
        <v>2</v>
      </c>
      <c r="BD16" s="23">
        <v>2</v>
      </c>
      <c r="BE16" s="23">
        <v>2</v>
      </c>
    </row>
    <row r="17" spans="2:57">
      <c r="B17" s="23" t="str">
        <f ca="1"/>
        <v>AL17</v>
      </c>
      <c r="C17" s="23" t="str">
        <f ca="1"/>
        <v>AM17</v>
      </c>
      <c r="D17" s="23" t="str">
        <f ca="1"/>
        <v>AN17</v>
      </c>
      <c r="E17" s="23" t="str">
        <f ca="1"/>
        <v>AO17</v>
      </c>
      <c r="F17" s="23" t="str">
        <f ca="1"/>
        <v>AP17</v>
      </c>
      <c r="G17" s="23" t="str">
        <f ca="1"/>
        <v>AQ17</v>
      </c>
      <c r="H17" s="23" t="str">
        <f ca="1"/>
        <v>AR17</v>
      </c>
      <c r="I17" s="23" t="str">
        <f ca="1"/>
        <v>AS17</v>
      </c>
      <c r="J17" s="23" t="str">
        <f ca="1"/>
        <v>AT17</v>
      </c>
      <c r="K17" s="23" t="str">
        <f ca="1"/>
        <v/>
      </c>
      <c r="L17" s="23" t="str">
        <f ca="1"/>
        <v/>
      </c>
      <c r="M17" s="23" t="str">
        <f ca="1"/>
        <v/>
      </c>
      <c r="N17" s="23" t="str">
        <f ca="1"/>
        <v/>
      </c>
      <c r="O17" s="23" t="str">
        <f ca="1"/>
        <v/>
      </c>
      <c r="P17" s="23" t="str">
        <f ca="1"/>
        <v/>
      </c>
      <c r="Q17" s="23" t="str">
        <f ca="1"/>
        <v/>
      </c>
      <c r="R17" s="23"/>
      <c r="S17" s="23"/>
      <c r="T17" s="23"/>
      <c r="U17" s="23"/>
      <c r="AL17" s="23">
        <v>2</v>
      </c>
      <c r="AM17" s="23">
        <v>2</v>
      </c>
      <c r="AN17" s="23">
        <v>2</v>
      </c>
      <c r="AO17" s="23">
        <v>2</v>
      </c>
      <c r="AP17" s="23">
        <v>2</v>
      </c>
      <c r="AQ17" s="23">
        <v>2</v>
      </c>
      <c r="AR17" s="23">
        <v>2</v>
      </c>
      <c r="AS17" s="23">
        <v>2</v>
      </c>
      <c r="AT17" s="23">
        <v>2</v>
      </c>
      <c r="AU17" s="23">
        <v>2</v>
      </c>
      <c r="AV17" s="23">
        <v>2</v>
      </c>
      <c r="AW17" s="23">
        <v>2</v>
      </c>
      <c r="AX17" s="23">
        <v>2</v>
      </c>
      <c r="AY17" s="23">
        <v>2</v>
      </c>
      <c r="AZ17" s="23">
        <v>2</v>
      </c>
      <c r="BA17" s="23">
        <v>2</v>
      </c>
      <c r="BB17" s="23">
        <v>2</v>
      </c>
      <c r="BC17" s="23">
        <v>2</v>
      </c>
      <c r="BD17" s="23">
        <v>2</v>
      </c>
      <c r="BE17" s="23">
        <v>2</v>
      </c>
    </row>
    <row r="18" spans="2:57">
      <c r="B18" s="23" t="str">
        <f ca="1"/>
        <v>AL18</v>
      </c>
      <c r="C18" s="23" t="str">
        <f ca="1"/>
        <v>AM18</v>
      </c>
      <c r="D18" s="23" t="str">
        <f ca="1"/>
        <v>AN18</v>
      </c>
      <c r="E18" s="23" t="str">
        <f ca="1"/>
        <v>AO18</v>
      </c>
      <c r="F18" s="23" t="str">
        <f ca="1"/>
        <v>AP18</v>
      </c>
      <c r="G18" s="23" t="str">
        <f ca="1"/>
        <v>AQ18</v>
      </c>
      <c r="H18" s="23" t="str">
        <f ca="1"/>
        <v>AR18</v>
      </c>
      <c r="I18" s="23" t="str">
        <f ca="1"/>
        <v>AS18</v>
      </c>
      <c r="J18" s="23" t="str">
        <f ca="1"/>
        <v/>
      </c>
      <c r="K18" s="23" t="str">
        <f ca="1"/>
        <v/>
      </c>
      <c r="L18" s="23" t="str">
        <f ca="1"/>
        <v/>
      </c>
      <c r="M18" s="23" t="str">
        <f ca="1"/>
        <v/>
      </c>
      <c r="N18" s="23" t="str">
        <f ca="1"/>
        <v/>
      </c>
      <c r="O18" s="23" t="str">
        <f ca="1"/>
        <v/>
      </c>
      <c r="P18" s="23" t="str">
        <f ca="1"/>
        <v/>
      </c>
      <c r="Q18" s="23" t="str">
        <f ca="1"/>
        <v/>
      </c>
      <c r="R18" s="23"/>
      <c r="S18" s="23"/>
      <c r="T18" s="23"/>
      <c r="U18" s="23"/>
      <c r="AL18" s="23">
        <v>2</v>
      </c>
      <c r="AM18" s="23">
        <v>2</v>
      </c>
      <c r="AN18" s="23">
        <v>2</v>
      </c>
      <c r="AO18" s="23">
        <v>2</v>
      </c>
      <c r="AP18" s="23">
        <v>2</v>
      </c>
      <c r="AQ18" s="23">
        <v>2</v>
      </c>
      <c r="AR18" s="23">
        <v>2</v>
      </c>
      <c r="AS18" s="23">
        <v>2</v>
      </c>
      <c r="AT18" s="23">
        <v>2</v>
      </c>
      <c r="AU18" s="23">
        <v>2</v>
      </c>
      <c r="AV18" s="23">
        <v>2</v>
      </c>
      <c r="AW18" s="23">
        <v>2</v>
      </c>
      <c r="AX18" s="23">
        <v>2</v>
      </c>
      <c r="AY18" s="23">
        <v>2</v>
      </c>
      <c r="AZ18" s="23">
        <v>2</v>
      </c>
      <c r="BA18" s="23">
        <v>2</v>
      </c>
      <c r="BB18" s="23">
        <v>2</v>
      </c>
      <c r="BC18" s="23">
        <v>2</v>
      </c>
      <c r="BD18" s="23">
        <v>2</v>
      </c>
      <c r="BE18" s="23">
        <v>2</v>
      </c>
    </row>
    <row r="19" spans="2:57">
      <c r="B19" s="23" t="str">
        <f ca="1"/>
        <v>AL19</v>
      </c>
      <c r="C19" s="23" t="str">
        <f ca="1"/>
        <v>AM19</v>
      </c>
      <c r="D19" s="23" t="str">
        <f ca="1"/>
        <v>AN19</v>
      </c>
      <c r="E19" s="23" t="str">
        <f ca="1"/>
        <v>AO19</v>
      </c>
      <c r="F19" s="23" t="str">
        <f ca="1"/>
        <v>AP19</v>
      </c>
      <c r="G19" s="23" t="str">
        <f ca="1"/>
        <v>AQ19</v>
      </c>
      <c r="H19" s="23" t="str">
        <f ca="1"/>
        <v>AR19</v>
      </c>
      <c r="I19" s="23" t="str">
        <f ca="1"/>
        <v/>
      </c>
      <c r="J19" s="23" t="str">
        <f ca="1"/>
        <v/>
      </c>
      <c r="K19" s="23" t="str">
        <f ca="1"/>
        <v/>
      </c>
      <c r="L19" s="23" t="str">
        <f ca="1"/>
        <v/>
      </c>
      <c r="M19" s="23" t="str">
        <f ca="1"/>
        <v/>
      </c>
      <c r="N19" s="23" t="str">
        <f ca="1"/>
        <v/>
      </c>
      <c r="O19" s="23" t="str">
        <f ca="1"/>
        <v/>
      </c>
      <c r="P19" s="23" t="str">
        <f ca="1"/>
        <v/>
      </c>
      <c r="Q19" s="23" t="str">
        <f ca="1"/>
        <v/>
      </c>
      <c r="R19" s="23"/>
      <c r="S19" s="23"/>
      <c r="T19" s="23"/>
      <c r="U19" s="23"/>
      <c r="AL19" s="23">
        <v>2</v>
      </c>
      <c r="AM19" s="23">
        <v>2</v>
      </c>
      <c r="AN19" s="23">
        <v>2</v>
      </c>
      <c r="AO19" s="23">
        <v>2</v>
      </c>
      <c r="AP19" s="23">
        <v>2</v>
      </c>
      <c r="AQ19" s="23">
        <v>2</v>
      </c>
      <c r="AR19" s="23">
        <v>2</v>
      </c>
      <c r="AS19" s="23">
        <v>2</v>
      </c>
      <c r="AT19" s="23">
        <v>2</v>
      </c>
      <c r="AU19" s="23">
        <v>2</v>
      </c>
      <c r="AV19" s="23">
        <v>2</v>
      </c>
      <c r="AW19" s="23">
        <v>2</v>
      </c>
      <c r="AX19" s="23">
        <v>2</v>
      </c>
      <c r="AY19" s="23">
        <v>2</v>
      </c>
      <c r="AZ19" s="23">
        <v>2</v>
      </c>
      <c r="BA19" s="23">
        <v>2</v>
      </c>
      <c r="BB19" s="23">
        <v>2</v>
      </c>
      <c r="BC19" s="23">
        <v>2</v>
      </c>
      <c r="BD19" s="23">
        <v>2</v>
      </c>
      <c r="BE19" s="23">
        <v>2</v>
      </c>
    </row>
    <row r="20" spans="2:57">
      <c r="B20" s="23" t="str">
        <f ca="1"/>
        <v/>
      </c>
      <c r="C20" s="23" t="str">
        <f ca="1"/>
        <v>AM20</v>
      </c>
      <c r="D20" s="23" t="str">
        <f ca="1"/>
        <v>AN20</v>
      </c>
      <c r="E20" s="23" t="str">
        <f ca="1"/>
        <v>AO20</v>
      </c>
      <c r="F20" s="23" t="str">
        <f ca="1"/>
        <v>AP20</v>
      </c>
      <c r="G20" s="23" t="str">
        <f ca="1"/>
        <v>AQ20</v>
      </c>
      <c r="H20" s="23" t="str">
        <f ca="1"/>
        <v/>
      </c>
      <c r="I20" s="23" t="str">
        <f ca="1"/>
        <v/>
      </c>
      <c r="J20" s="23" t="str">
        <f ca="1"/>
        <v/>
      </c>
      <c r="K20" s="23" t="str">
        <f ca="1"/>
        <v/>
      </c>
      <c r="L20" s="23" t="str">
        <f ca="1"/>
        <v/>
      </c>
      <c r="M20" s="23" t="str">
        <f ca="1"/>
        <v/>
      </c>
      <c r="N20" s="23" t="str">
        <f ca="1"/>
        <v/>
      </c>
      <c r="O20" s="23" t="str">
        <f ca="1"/>
        <v/>
      </c>
      <c r="P20" s="23" t="str">
        <f ca="1"/>
        <v/>
      </c>
      <c r="Q20" s="23" t="str">
        <f ca="1"/>
        <v/>
      </c>
      <c r="R20" s="23"/>
      <c r="S20" s="23"/>
      <c r="T20" s="23"/>
      <c r="U20" s="23"/>
      <c r="AL20" s="23">
        <v>2</v>
      </c>
      <c r="AM20" s="23">
        <v>2</v>
      </c>
      <c r="AN20" s="23">
        <v>2</v>
      </c>
      <c r="AO20" s="23">
        <v>2</v>
      </c>
      <c r="AP20" s="23">
        <v>2</v>
      </c>
      <c r="AQ20" s="23">
        <v>2</v>
      </c>
      <c r="AR20" s="23">
        <v>2</v>
      </c>
      <c r="AS20" s="23">
        <v>2</v>
      </c>
      <c r="AT20" s="23">
        <v>2</v>
      </c>
      <c r="AU20" s="23">
        <v>2</v>
      </c>
      <c r="AV20" s="23">
        <v>2</v>
      </c>
      <c r="AW20" s="23">
        <v>2</v>
      </c>
      <c r="AX20" s="23">
        <v>2</v>
      </c>
      <c r="AY20" s="23">
        <v>2</v>
      </c>
      <c r="AZ20" s="23">
        <v>2</v>
      </c>
      <c r="BA20" s="23">
        <v>2</v>
      </c>
      <c r="BB20" s="23">
        <v>2</v>
      </c>
      <c r="BC20" s="23">
        <v>2</v>
      </c>
      <c r="BD20" s="23">
        <v>2</v>
      </c>
      <c r="BE20" s="23">
        <v>2</v>
      </c>
    </row>
    <row r="21" spans="2:57">
      <c r="B21" s="23" t="str">
        <f ca="1"/>
        <v/>
      </c>
      <c r="C21" s="23" t="str">
        <f ca="1"/>
        <v/>
      </c>
      <c r="D21" s="23" t="str">
        <f ca="1"/>
        <v>AN21</v>
      </c>
      <c r="E21" s="23" t="str">
        <f ca="1"/>
        <v>AO21</v>
      </c>
      <c r="F21" s="23" t="str">
        <f ca="1"/>
        <v>AP21</v>
      </c>
      <c r="G21" s="23" t="str">
        <f ca="1"/>
        <v/>
      </c>
      <c r="H21" s="23" t="str">
        <f ca="1"/>
        <v/>
      </c>
      <c r="I21" s="23" t="str">
        <f ca="1"/>
        <v/>
      </c>
      <c r="J21" s="23" t="str">
        <f ca="1"/>
        <v/>
      </c>
      <c r="K21" s="23" t="str">
        <f ca="1"/>
        <v/>
      </c>
      <c r="L21" s="23" t="str">
        <f ca="1"/>
        <v/>
      </c>
      <c r="M21" s="23" t="str">
        <f ca="1"/>
        <v/>
      </c>
      <c r="N21" s="23" t="str">
        <f ca="1"/>
        <v/>
      </c>
      <c r="O21" s="23" t="str">
        <f ca="1"/>
        <v/>
      </c>
      <c r="P21" s="23" t="str">
        <f ca="1"/>
        <v/>
      </c>
      <c r="Q21" s="23" t="str">
        <f ca="1"/>
        <v/>
      </c>
      <c r="R21" s="23"/>
      <c r="S21" s="23"/>
      <c r="T21" s="23"/>
      <c r="U21" s="23"/>
      <c r="AL21" s="23">
        <v>2</v>
      </c>
      <c r="AM21" s="23">
        <v>2</v>
      </c>
      <c r="AN21" s="23">
        <v>2</v>
      </c>
      <c r="AO21" s="23">
        <v>2</v>
      </c>
      <c r="AP21" s="23">
        <v>2</v>
      </c>
      <c r="AQ21" s="23">
        <v>2</v>
      </c>
      <c r="AR21" s="23">
        <v>2</v>
      </c>
      <c r="AS21" s="23">
        <v>2</v>
      </c>
      <c r="AT21" s="23">
        <v>2</v>
      </c>
      <c r="AU21" s="23">
        <v>2</v>
      </c>
      <c r="AV21" s="23">
        <v>2</v>
      </c>
      <c r="AW21" s="23">
        <v>2</v>
      </c>
      <c r="AX21" s="23">
        <v>2</v>
      </c>
      <c r="AY21" s="23">
        <v>2</v>
      </c>
      <c r="AZ21" s="23">
        <v>2</v>
      </c>
      <c r="BA21" s="23">
        <v>2</v>
      </c>
      <c r="BB21" s="23">
        <v>2</v>
      </c>
      <c r="BC21" s="23">
        <v>2</v>
      </c>
      <c r="BD21" s="23">
        <v>2</v>
      </c>
      <c r="BE21" s="23">
        <v>2</v>
      </c>
    </row>
    <row r="22" spans="2:57">
      <c r="B22" s="23" t="str">
        <f ca="1"/>
        <v/>
      </c>
      <c r="C22" s="23" t="str">
        <f ca="1"/>
        <v/>
      </c>
      <c r="D22" s="23" t="str">
        <f ca="1"/>
        <v/>
      </c>
      <c r="E22" s="23" t="str">
        <f ca="1"/>
        <v>AO22</v>
      </c>
      <c r="F22" s="23" t="str">
        <f ca="1"/>
        <v/>
      </c>
      <c r="G22" s="23" t="str">
        <f ca="1"/>
        <v/>
      </c>
      <c r="H22" s="23" t="str">
        <f ca="1"/>
        <v/>
      </c>
      <c r="I22" s="23" t="str">
        <f ca="1"/>
        <v/>
      </c>
      <c r="J22" s="23" t="str">
        <f ca="1"/>
        <v/>
      </c>
      <c r="K22" s="23" t="str">
        <f ca="1"/>
        <v/>
      </c>
      <c r="L22" s="23" t="str">
        <f ca="1"/>
        <v/>
      </c>
      <c r="M22" s="23" t="str">
        <f ca="1"/>
        <v/>
      </c>
      <c r="N22" s="23" t="str">
        <f ca="1"/>
        <v/>
      </c>
      <c r="O22" s="23" t="str">
        <f ca="1"/>
        <v/>
      </c>
      <c r="P22" s="23" t="str">
        <f ca="1"/>
        <v/>
      </c>
      <c r="Q22" s="23" t="str">
        <f ca="1"/>
        <v/>
      </c>
      <c r="R22" s="23"/>
      <c r="S22" s="23"/>
      <c r="T22" s="23"/>
      <c r="U22" s="23"/>
      <c r="AL22" s="23">
        <v>2</v>
      </c>
      <c r="AM22" s="23">
        <v>2</v>
      </c>
      <c r="AN22" s="23">
        <v>2</v>
      </c>
      <c r="AO22" s="23">
        <v>2</v>
      </c>
      <c r="AP22" s="23">
        <v>2</v>
      </c>
      <c r="AQ22" s="23">
        <v>2</v>
      </c>
      <c r="AR22" s="23">
        <v>2</v>
      </c>
      <c r="AS22" s="23">
        <v>2</v>
      </c>
      <c r="AT22" s="23">
        <v>2</v>
      </c>
      <c r="AU22" s="23">
        <v>2</v>
      </c>
      <c r="AV22" s="23">
        <v>2</v>
      </c>
      <c r="AW22" s="23">
        <v>2</v>
      </c>
      <c r="AX22" s="23">
        <v>2</v>
      </c>
      <c r="AY22" s="23">
        <v>2</v>
      </c>
      <c r="AZ22" s="23">
        <v>2</v>
      </c>
      <c r="BA22" s="23">
        <v>2</v>
      </c>
      <c r="BB22" s="23">
        <v>2</v>
      </c>
      <c r="BC22" s="23">
        <v>2</v>
      </c>
      <c r="BD22" s="23">
        <v>2</v>
      </c>
      <c r="BE22" s="23">
        <v>2</v>
      </c>
    </row>
    <row r="23" spans="2:57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AL23" s="23">
        <v>2</v>
      </c>
      <c r="AM23" s="23">
        <v>2</v>
      </c>
      <c r="AN23" s="23">
        <v>2</v>
      </c>
      <c r="AO23" s="23">
        <v>2</v>
      </c>
      <c r="AP23" s="23">
        <v>2</v>
      </c>
      <c r="AQ23" s="23">
        <v>2</v>
      </c>
      <c r="AR23" s="23">
        <v>2</v>
      </c>
      <c r="AS23" s="23">
        <v>2</v>
      </c>
      <c r="AT23" s="23">
        <v>2</v>
      </c>
      <c r="AU23" s="23">
        <v>2</v>
      </c>
      <c r="AV23" s="23">
        <v>2</v>
      </c>
      <c r="AW23" s="23">
        <v>2</v>
      </c>
      <c r="AX23" s="23">
        <v>2</v>
      </c>
      <c r="AY23" s="23">
        <v>2</v>
      </c>
      <c r="AZ23" s="23">
        <v>2</v>
      </c>
      <c r="BA23" s="23">
        <v>2</v>
      </c>
      <c r="BB23" s="23">
        <v>2</v>
      </c>
      <c r="BC23" s="23">
        <v>2</v>
      </c>
      <c r="BD23" s="23">
        <v>2</v>
      </c>
      <c r="BE23" s="23">
        <v>2</v>
      </c>
    </row>
    <row r="24" spans="2:57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AL24" s="23">
        <v>2</v>
      </c>
      <c r="AM24" s="23">
        <v>2</v>
      </c>
      <c r="AN24" s="23">
        <v>2</v>
      </c>
      <c r="AO24" s="23">
        <v>2</v>
      </c>
      <c r="AP24" s="23">
        <v>2</v>
      </c>
      <c r="AQ24" s="23">
        <v>2</v>
      </c>
      <c r="AR24" s="23">
        <v>2</v>
      </c>
      <c r="AS24" s="23">
        <v>2</v>
      </c>
      <c r="AT24" s="23">
        <v>2</v>
      </c>
      <c r="AU24" s="23">
        <v>2</v>
      </c>
      <c r="AV24" s="23">
        <v>2</v>
      </c>
      <c r="AW24" s="23">
        <v>2</v>
      </c>
      <c r="AX24" s="23">
        <v>2</v>
      </c>
      <c r="AY24" s="23">
        <v>2</v>
      </c>
      <c r="AZ24" s="23">
        <v>2</v>
      </c>
      <c r="BA24" s="23">
        <v>2</v>
      </c>
      <c r="BB24" s="23">
        <v>2</v>
      </c>
      <c r="BC24" s="23">
        <v>2</v>
      </c>
      <c r="BD24" s="23">
        <v>2</v>
      </c>
      <c r="BE24" s="23">
        <v>2</v>
      </c>
    </row>
    <row r="28" spans="2:57">
      <c r="B28" t="str" cm="1">
        <f t="array" aca="1" ref="B28:Z49" ca="1">Lz_Adjacent(AA11, AA12, AA13, 1, , , 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>AL1</v>
      </c>
      <c r="L28" t="str">
        <f ca="1"/>
        <v>AM1</v>
      </c>
      <c r="M28" t="str">
        <f ca="1"/>
        <v>AN1</v>
      </c>
      <c r="N28" t="str">
        <f ca="1"/>
        <v>AO1</v>
      </c>
      <c r="O28" t="str">
        <f ca="1"/>
        <v>AP1</v>
      </c>
      <c r="P28" t="str">
        <f ca="1"/>
        <v>AQ1</v>
      </c>
      <c r="Q28" t="str">
        <f ca="1"/>
        <v>AR1</v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2:57"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>AK2</v>
      </c>
      <c r="K29" t="str">
        <f ca="1"/>
        <v>AL2</v>
      </c>
      <c r="L29" t="str">
        <f ca="1"/>
        <v>AM2</v>
      </c>
      <c r="M29" t="str">
        <f ca="1"/>
        <v>AN2</v>
      </c>
      <c r="N29" t="str">
        <f ca="1"/>
        <v>AO2</v>
      </c>
      <c r="O29" t="str">
        <f ca="1"/>
        <v>AP2</v>
      </c>
      <c r="P29" t="str">
        <f ca="1"/>
        <v>AQ2</v>
      </c>
      <c r="Q29" t="str">
        <f ca="1"/>
        <v>AR2</v>
      </c>
      <c r="R29" t="str">
        <f ca="1"/>
        <v>AS2</v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2:57"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>AJ3</v>
      </c>
      <c r="J30" t="str">
        <f ca="1"/>
        <v>AK3</v>
      </c>
      <c r="K30" t="str">
        <f ca="1"/>
        <v>AL3</v>
      </c>
      <c r="L30" t="str">
        <f ca="1"/>
        <v>AM3</v>
      </c>
      <c r="M30" t="str">
        <f ca="1"/>
        <v>AN3</v>
      </c>
      <c r="N30" t="str">
        <f ca="1"/>
        <v>AO3</v>
      </c>
      <c r="O30" t="str">
        <f ca="1"/>
        <v>AP3</v>
      </c>
      <c r="P30" t="str">
        <f ca="1"/>
        <v>AQ3</v>
      </c>
      <c r="Q30" t="str">
        <f ca="1"/>
        <v>AR3</v>
      </c>
      <c r="R30" t="str">
        <f ca="1"/>
        <v>AS3</v>
      </c>
      <c r="S30" t="str">
        <f ca="1"/>
        <v>AT3</v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2:57"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>AI4</v>
      </c>
      <c r="I31" t="str">
        <f ca="1"/>
        <v>AJ4</v>
      </c>
      <c r="J31" t="str">
        <f ca="1"/>
        <v>AK4</v>
      </c>
      <c r="K31" t="str">
        <f ca="1"/>
        <v>AL4</v>
      </c>
      <c r="L31" t="str">
        <f ca="1"/>
        <v>AM4</v>
      </c>
      <c r="M31" t="str">
        <f ca="1"/>
        <v>AN4</v>
      </c>
      <c r="N31" t="str">
        <f ca="1"/>
        <v>AO4</v>
      </c>
      <c r="O31" t="str">
        <f ca="1"/>
        <v>AP4</v>
      </c>
      <c r="P31" t="str">
        <f ca="1"/>
        <v>AQ4</v>
      </c>
      <c r="Q31" t="str">
        <f ca="1"/>
        <v>AR4</v>
      </c>
      <c r="R31" t="str">
        <f ca="1"/>
        <v>AS4</v>
      </c>
      <c r="S31" t="str">
        <f ca="1"/>
        <v>AT4</v>
      </c>
      <c r="T31" t="str">
        <f ca="1"/>
        <v>AU4</v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2:57"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>AH5</v>
      </c>
      <c r="H32" t="str">
        <f ca="1"/>
        <v>AI5</v>
      </c>
      <c r="I32" t="str">
        <f ca="1"/>
        <v>AJ5</v>
      </c>
      <c r="J32" t="str">
        <f ca="1"/>
        <v>AK5</v>
      </c>
      <c r="K32" t="str">
        <f ca="1"/>
        <v>AL5</v>
      </c>
      <c r="L32" t="str">
        <f ca="1"/>
        <v>AM5</v>
      </c>
      <c r="M32" t="str">
        <f ca="1"/>
        <v>AN5</v>
      </c>
      <c r="N32" t="str">
        <f ca="1"/>
        <v>AO5</v>
      </c>
      <c r="O32" t="str">
        <f ca="1"/>
        <v>AP5</v>
      </c>
      <c r="P32" t="str">
        <f ca="1"/>
        <v>AQ5</v>
      </c>
      <c r="Q32" t="str">
        <f ca="1"/>
        <v>AR5</v>
      </c>
      <c r="R32" t="str">
        <f ca="1"/>
        <v>AS5</v>
      </c>
      <c r="S32" t="str">
        <f ca="1"/>
        <v>AT5</v>
      </c>
      <c r="T32" t="str">
        <f ca="1"/>
        <v>AU5</v>
      </c>
      <c r="U32" t="str">
        <f ca="1"/>
        <v>AV5</v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2:26"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>AG6</v>
      </c>
      <c r="G33" t="str">
        <f ca="1"/>
        <v>AH6</v>
      </c>
      <c r="H33" t="str">
        <f ca="1"/>
        <v>AI6</v>
      </c>
      <c r="I33" t="str">
        <f ca="1"/>
        <v>AJ6</v>
      </c>
      <c r="J33" t="str">
        <f ca="1"/>
        <v>AK6</v>
      </c>
      <c r="K33" t="str">
        <f ca="1"/>
        <v>AL6</v>
      </c>
      <c r="L33" t="str">
        <f ca="1"/>
        <v>AM6</v>
      </c>
      <c r="M33" t="str">
        <f ca="1"/>
        <v>AN6</v>
      </c>
      <c r="N33" t="str">
        <f ca="1"/>
        <v>AO6</v>
      </c>
      <c r="O33" t="str">
        <f ca="1"/>
        <v>AP6</v>
      </c>
      <c r="P33" t="str">
        <f ca="1"/>
        <v>AQ6</v>
      </c>
      <c r="Q33" t="str">
        <f ca="1"/>
        <v>AR6</v>
      </c>
      <c r="R33" t="str">
        <f ca="1"/>
        <v>AS6</v>
      </c>
      <c r="S33" t="str">
        <f ca="1"/>
        <v>AT6</v>
      </c>
      <c r="T33" t="str">
        <f ca="1"/>
        <v>AU6</v>
      </c>
      <c r="U33" t="str">
        <f ca="1"/>
        <v>AV6</v>
      </c>
      <c r="V33" t="str">
        <f ca="1"/>
        <v>AW6</v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2:26">
      <c r="B34" t="str">
        <f ca="1"/>
        <v/>
      </c>
      <c r="C34" t="str">
        <f ca="1"/>
        <v/>
      </c>
      <c r="D34" t="str">
        <f ca="1"/>
        <v/>
      </c>
      <c r="E34" t="str">
        <f ca="1"/>
        <v>AF7</v>
      </c>
      <c r="F34" t="str">
        <f ca="1"/>
        <v>AG7</v>
      </c>
      <c r="G34" t="str">
        <f ca="1"/>
        <v>AH7</v>
      </c>
      <c r="H34" t="str">
        <f ca="1"/>
        <v>AI7</v>
      </c>
      <c r="I34" t="str">
        <f ca="1"/>
        <v>AJ7</v>
      </c>
      <c r="J34" t="str">
        <f ca="1"/>
        <v>AK7</v>
      </c>
      <c r="K34" t="str">
        <f ca="1"/>
        <v>AL7</v>
      </c>
      <c r="L34" t="str">
        <f ca="1"/>
        <v>AM7</v>
      </c>
      <c r="M34" t="str">
        <f ca="1"/>
        <v>AN7</v>
      </c>
      <c r="N34" t="str">
        <f ca="1"/>
        <v>AO7</v>
      </c>
      <c r="O34" t="str">
        <f ca="1"/>
        <v>AP7</v>
      </c>
      <c r="P34" t="str">
        <f ca="1"/>
        <v>AQ7</v>
      </c>
      <c r="Q34" t="str">
        <f ca="1"/>
        <v>AR7</v>
      </c>
      <c r="R34" t="str">
        <f ca="1"/>
        <v>AS7</v>
      </c>
      <c r="S34" t="str">
        <f ca="1"/>
        <v>AT7</v>
      </c>
      <c r="T34" t="str">
        <f ca="1"/>
        <v>AU7</v>
      </c>
      <c r="U34" t="str">
        <f ca="1"/>
        <v>AV7</v>
      </c>
      <c r="V34" t="str">
        <f ca="1"/>
        <v>AW7</v>
      </c>
      <c r="W34" t="str">
        <f ca="1"/>
        <v>AX7</v>
      </c>
      <c r="X34" t="str">
        <f ca="1"/>
        <v/>
      </c>
      <c r="Y34" t="str">
        <f ca="1"/>
        <v/>
      </c>
      <c r="Z34" t="str">
        <f ca="1"/>
        <v/>
      </c>
    </row>
    <row r="35" spans="2:26">
      <c r="B35" t="str">
        <f ca="1"/>
        <v/>
      </c>
      <c r="C35" t="str">
        <f ca="1"/>
        <v/>
      </c>
      <c r="D35" t="str">
        <f ca="1"/>
        <v>AE8</v>
      </c>
      <c r="E35" t="str">
        <f ca="1"/>
        <v>AF8</v>
      </c>
      <c r="F35" t="str">
        <f ca="1"/>
        <v>AG8</v>
      </c>
      <c r="G35" t="str">
        <f ca="1"/>
        <v>AH8</v>
      </c>
      <c r="H35" t="str">
        <f ca="1"/>
        <v>AI8</v>
      </c>
      <c r="I35" t="str">
        <f ca="1"/>
        <v>AJ8</v>
      </c>
      <c r="J35" t="str">
        <f ca="1"/>
        <v>AK8</v>
      </c>
      <c r="K35" t="str">
        <f ca="1"/>
        <v>AL8</v>
      </c>
      <c r="L35" t="str">
        <f ca="1"/>
        <v>AM8</v>
      </c>
      <c r="M35" t="str">
        <f ca="1"/>
        <v>AN8</v>
      </c>
      <c r="N35" t="str">
        <f ca="1"/>
        <v>AO8</v>
      </c>
      <c r="O35" t="str">
        <f ca="1"/>
        <v>AP8</v>
      </c>
      <c r="P35" t="str">
        <f ca="1"/>
        <v>AQ8</v>
      </c>
      <c r="Q35" t="str">
        <f ca="1"/>
        <v>AR8</v>
      </c>
      <c r="R35" t="str">
        <f ca="1"/>
        <v>AS8</v>
      </c>
      <c r="S35" t="str">
        <f ca="1"/>
        <v>AT8</v>
      </c>
      <c r="T35" t="str">
        <f ca="1"/>
        <v>AU8</v>
      </c>
      <c r="U35" t="str">
        <f ca="1"/>
        <v>AV8</v>
      </c>
      <c r="V35" t="str">
        <f ca="1"/>
        <v>AW8</v>
      </c>
      <c r="W35" t="str">
        <f ca="1"/>
        <v>AX8</v>
      </c>
      <c r="X35" t="str">
        <f ca="1"/>
        <v>AY8</v>
      </c>
      <c r="Y35" t="str">
        <f ca="1"/>
        <v/>
      </c>
      <c r="Z35" t="str">
        <f ca="1"/>
        <v/>
      </c>
    </row>
    <row r="36" spans="2:26">
      <c r="B36" t="str">
        <f ca="1"/>
        <v/>
      </c>
      <c r="C36" t="str">
        <f ca="1"/>
        <v>AD9</v>
      </c>
      <c r="D36" t="str">
        <f ca="1"/>
        <v>AE9</v>
      </c>
      <c r="E36" t="str">
        <f ca="1"/>
        <v>AF9</v>
      </c>
      <c r="F36" t="str">
        <f ca="1"/>
        <v>AG9</v>
      </c>
      <c r="G36" t="str">
        <f ca="1"/>
        <v>AH9</v>
      </c>
      <c r="H36" t="str">
        <f ca="1"/>
        <v>AI9</v>
      </c>
      <c r="I36" t="str">
        <f ca="1"/>
        <v>AJ9</v>
      </c>
      <c r="J36" t="str">
        <f ca="1"/>
        <v>AK9</v>
      </c>
      <c r="K36" t="str">
        <f ca="1"/>
        <v>AL9</v>
      </c>
      <c r="L36" t="str">
        <f ca="1"/>
        <v>AM9</v>
      </c>
      <c r="M36" t="str">
        <f ca="1"/>
        <v>AN9</v>
      </c>
      <c r="N36" t="str">
        <f ca="1"/>
        <v>AO9</v>
      </c>
      <c r="O36" t="str">
        <f ca="1"/>
        <v>AP9</v>
      </c>
      <c r="P36" t="str">
        <f ca="1"/>
        <v>AQ9</v>
      </c>
      <c r="Q36" t="str">
        <f ca="1"/>
        <v>AR9</v>
      </c>
      <c r="R36" t="str">
        <f ca="1"/>
        <v>AS9</v>
      </c>
      <c r="S36" t="str">
        <f ca="1"/>
        <v>AT9</v>
      </c>
      <c r="T36" t="str">
        <f ca="1"/>
        <v>AU9</v>
      </c>
      <c r="U36" t="str">
        <f ca="1"/>
        <v>AV9</v>
      </c>
      <c r="V36" t="str">
        <f ca="1"/>
        <v>AW9</v>
      </c>
      <c r="W36" t="str">
        <f ca="1"/>
        <v>AX9</v>
      </c>
      <c r="X36" t="str">
        <f ca="1"/>
        <v>AY9</v>
      </c>
      <c r="Y36" t="str">
        <f ca="1"/>
        <v>AZ9</v>
      </c>
      <c r="Z36" t="str">
        <f ca="1"/>
        <v/>
      </c>
    </row>
    <row r="37" spans="2:26">
      <c r="B37" t="str">
        <f ca="1"/>
        <v>AC10</v>
      </c>
      <c r="C37" t="str">
        <f ca="1"/>
        <v>AD10</v>
      </c>
      <c r="D37" t="str">
        <f ca="1"/>
        <v>AE10</v>
      </c>
      <c r="E37" t="str">
        <f ca="1"/>
        <v>AF10</v>
      </c>
      <c r="F37" t="str">
        <f ca="1"/>
        <v>AG10</v>
      </c>
      <c r="G37" t="str">
        <f ca="1"/>
        <v>AH10</v>
      </c>
      <c r="H37" t="str">
        <f ca="1"/>
        <v>AI10</v>
      </c>
      <c r="I37" t="str">
        <f ca="1"/>
        <v>AJ10</v>
      </c>
      <c r="J37" t="str">
        <f ca="1"/>
        <v>AK10</v>
      </c>
      <c r="K37" t="str">
        <f ca="1"/>
        <v>AL10</v>
      </c>
      <c r="L37" t="str">
        <f ca="1"/>
        <v>AM10</v>
      </c>
      <c r="M37" t="str">
        <f ca="1"/>
        <v>AN10</v>
      </c>
      <c r="N37" t="str">
        <f ca="1"/>
        <v>AO10</v>
      </c>
      <c r="O37" t="str">
        <f ca="1"/>
        <v>AP10</v>
      </c>
      <c r="P37" t="str">
        <f ca="1"/>
        <v>AQ10</v>
      </c>
      <c r="Q37" t="str">
        <f ca="1"/>
        <v>AR10</v>
      </c>
      <c r="R37" t="str">
        <f ca="1"/>
        <v>AS10</v>
      </c>
      <c r="S37" t="str">
        <f ca="1"/>
        <v>AT10</v>
      </c>
      <c r="T37" t="str">
        <f ca="1"/>
        <v>AU10</v>
      </c>
      <c r="U37" t="str">
        <f ca="1"/>
        <v>AV10</v>
      </c>
      <c r="V37" t="str">
        <f ca="1"/>
        <v>AW10</v>
      </c>
      <c r="W37" t="str">
        <f ca="1"/>
        <v>AX10</v>
      </c>
      <c r="X37" t="str">
        <f ca="1"/>
        <v>AY10</v>
      </c>
      <c r="Y37" t="str">
        <f ca="1"/>
        <v>AZ10</v>
      </c>
      <c r="Z37" t="str">
        <f ca="1"/>
        <v>BA10</v>
      </c>
    </row>
    <row r="38" spans="2:26">
      <c r="B38" t="str">
        <f ca="1"/>
        <v/>
      </c>
      <c r="C38" t="str">
        <f ca="1"/>
        <v>AD11</v>
      </c>
      <c r="D38" t="str">
        <f ca="1"/>
        <v>AE11</v>
      </c>
      <c r="E38" t="str">
        <f ca="1"/>
        <v>AF11</v>
      </c>
      <c r="F38" t="str">
        <f ca="1"/>
        <v>AG11</v>
      </c>
      <c r="G38" t="str">
        <f ca="1"/>
        <v>AH11</v>
      </c>
      <c r="H38" t="str">
        <f ca="1"/>
        <v>AI11</v>
      </c>
      <c r="I38" t="str">
        <f ca="1"/>
        <v>AJ11</v>
      </c>
      <c r="J38" t="str">
        <f ca="1"/>
        <v>AK11</v>
      </c>
      <c r="K38" t="str">
        <f ca="1"/>
        <v>AL11</v>
      </c>
      <c r="L38" t="str">
        <f ca="1"/>
        <v>AM11</v>
      </c>
      <c r="M38" t="str">
        <f ca="1"/>
        <v>AN11</v>
      </c>
      <c r="N38" t="str">
        <f ca="1"/>
        <v>AO11</v>
      </c>
      <c r="O38" t="str">
        <f ca="1"/>
        <v>AP11</v>
      </c>
      <c r="P38" t="str">
        <f ca="1"/>
        <v>AQ11</v>
      </c>
      <c r="Q38" t="str">
        <f ca="1"/>
        <v>AR11</v>
      </c>
      <c r="R38" t="str">
        <f ca="1"/>
        <v>AS11</v>
      </c>
      <c r="S38" t="str">
        <f ca="1"/>
        <v>AT11</v>
      </c>
      <c r="T38" t="str">
        <f ca="1"/>
        <v>AU11</v>
      </c>
      <c r="U38" t="str">
        <f ca="1"/>
        <v>AV11</v>
      </c>
      <c r="V38" t="str">
        <f ca="1"/>
        <v>AW11</v>
      </c>
      <c r="W38" t="str">
        <f ca="1"/>
        <v>AX11</v>
      </c>
      <c r="X38" t="str">
        <f ca="1"/>
        <v>AY11</v>
      </c>
      <c r="Y38" t="str">
        <f ca="1"/>
        <v>AZ11</v>
      </c>
      <c r="Z38" t="str">
        <f ca="1"/>
        <v/>
      </c>
    </row>
    <row r="39" spans="2:26">
      <c r="B39" t="str">
        <f ca="1"/>
        <v/>
      </c>
      <c r="C39" t="str">
        <f ca="1"/>
        <v/>
      </c>
      <c r="D39" t="str">
        <f ca="1"/>
        <v>AE12</v>
      </c>
      <c r="E39" t="str">
        <f ca="1"/>
        <v>AF12</v>
      </c>
      <c r="F39" t="str">
        <f ca="1"/>
        <v>AG12</v>
      </c>
      <c r="G39" t="str">
        <f ca="1"/>
        <v>AH12</v>
      </c>
      <c r="H39" t="str">
        <f ca="1"/>
        <v>AI12</v>
      </c>
      <c r="I39" t="str">
        <f ca="1"/>
        <v>AJ12</v>
      </c>
      <c r="J39" t="str">
        <f ca="1"/>
        <v>AK12</v>
      </c>
      <c r="K39" t="str">
        <f ca="1"/>
        <v>AL12</v>
      </c>
      <c r="L39" t="str">
        <f ca="1"/>
        <v>AM12</v>
      </c>
      <c r="M39" t="str">
        <f ca="1"/>
        <v>AN12</v>
      </c>
      <c r="N39" t="str">
        <f ca="1"/>
        <v>AO12</v>
      </c>
      <c r="O39" t="str">
        <f ca="1"/>
        <v>AP12</v>
      </c>
      <c r="P39" t="str">
        <f ca="1"/>
        <v>AQ12</v>
      </c>
      <c r="Q39" t="str">
        <f ca="1"/>
        <v>AR12</v>
      </c>
      <c r="R39" t="str">
        <f ca="1"/>
        <v>AS12</v>
      </c>
      <c r="S39" t="str">
        <f ca="1"/>
        <v>AT12</v>
      </c>
      <c r="T39" t="str">
        <f ca="1"/>
        <v>AU12</v>
      </c>
      <c r="U39" t="str">
        <f ca="1"/>
        <v>AV12</v>
      </c>
      <c r="V39" t="str">
        <f ca="1"/>
        <v>AW12</v>
      </c>
      <c r="W39" t="str">
        <f ca="1"/>
        <v>AX12</v>
      </c>
      <c r="X39" t="str">
        <f ca="1"/>
        <v>AY12</v>
      </c>
      <c r="Y39" t="str">
        <f ca="1"/>
        <v/>
      </c>
      <c r="Z39" t="str">
        <f ca="1"/>
        <v/>
      </c>
    </row>
    <row r="40" spans="2:26">
      <c r="B40" t="str">
        <f ca="1"/>
        <v/>
      </c>
      <c r="C40" t="str">
        <f ca="1"/>
        <v/>
      </c>
      <c r="D40" t="str">
        <f ca="1"/>
        <v/>
      </c>
      <c r="E40" t="str">
        <f ca="1"/>
        <v>AF13</v>
      </c>
      <c r="F40" t="str">
        <f ca="1"/>
        <v>AG13</v>
      </c>
      <c r="G40" t="str">
        <f ca="1"/>
        <v>AH13</v>
      </c>
      <c r="H40" t="str">
        <f ca="1"/>
        <v>AI13</v>
      </c>
      <c r="I40" t="str">
        <f ca="1"/>
        <v>AJ13</v>
      </c>
      <c r="J40" t="str">
        <f ca="1"/>
        <v>AK13</v>
      </c>
      <c r="K40" t="str">
        <f ca="1"/>
        <v>AL13</v>
      </c>
      <c r="L40" t="str">
        <f ca="1"/>
        <v>AM13</v>
      </c>
      <c r="M40" t="str">
        <f ca="1"/>
        <v>AN13</v>
      </c>
      <c r="N40" t="str">
        <f ca="1"/>
        <v>AO13</v>
      </c>
      <c r="O40" t="str">
        <f ca="1"/>
        <v>AP13</v>
      </c>
      <c r="P40" t="str">
        <f ca="1"/>
        <v>AQ13</v>
      </c>
      <c r="Q40" t="str">
        <f ca="1"/>
        <v>AR13</v>
      </c>
      <c r="R40" t="str">
        <f ca="1"/>
        <v>AS13</v>
      </c>
      <c r="S40" t="str">
        <f ca="1"/>
        <v>AT13</v>
      </c>
      <c r="T40" t="str">
        <f ca="1"/>
        <v>AU13</v>
      </c>
      <c r="U40" t="str">
        <f ca="1"/>
        <v>AV13</v>
      </c>
      <c r="V40" t="str">
        <f ca="1"/>
        <v>AW13</v>
      </c>
      <c r="W40" t="str">
        <f ca="1"/>
        <v>AX13</v>
      </c>
      <c r="X40" t="str">
        <f ca="1"/>
        <v/>
      </c>
      <c r="Y40" t="str">
        <f ca="1"/>
        <v/>
      </c>
      <c r="Z40" t="str">
        <f ca="1"/>
        <v/>
      </c>
    </row>
    <row r="41" spans="2:26"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>AG14</v>
      </c>
      <c r="G41" t="str">
        <f ca="1"/>
        <v>AH14</v>
      </c>
      <c r="H41" t="str">
        <f ca="1"/>
        <v>AI14</v>
      </c>
      <c r="I41" t="str">
        <f ca="1"/>
        <v>AJ14</v>
      </c>
      <c r="J41" t="str">
        <f ca="1"/>
        <v>AK14</v>
      </c>
      <c r="K41" t="str">
        <f ca="1"/>
        <v>AL14</v>
      </c>
      <c r="L41" t="str">
        <f ca="1"/>
        <v>AM14</v>
      </c>
      <c r="M41" t="str">
        <f ca="1"/>
        <v>AN14</v>
      </c>
      <c r="N41" t="str">
        <f ca="1"/>
        <v>AO14</v>
      </c>
      <c r="O41" t="str">
        <f ca="1"/>
        <v>AP14</v>
      </c>
      <c r="P41" t="str">
        <f ca="1"/>
        <v>AQ14</v>
      </c>
      <c r="Q41" t="str">
        <f ca="1"/>
        <v>AR14</v>
      </c>
      <c r="R41" t="str">
        <f ca="1"/>
        <v>AS14</v>
      </c>
      <c r="S41" t="str">
        <f ca="1"/>
        <v>AT14</v>
      </c>
      <c r="T41" t="str">
        <f ca="1"/>
        <v>AU14</v>
      </c>
      <c r="U41" t="str">
        <f ca="1"/>
        <v>AV14</v>
      </c>
      <c r="V41" t="str">
        <f ca="1"/>
        <v>AW14</v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2:26"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>AH15</v>
      </c>
      <c r="H42" t="str">
        <f ca="1"/>
        <v>AI15</v>
      </c>
      <c r="I42" t="str">
        <f ca="1"/>
        <v>AJ15</v>
      </c>
      <c r="J42" t="str">
        <f ca="1"/>
        <v>AK15</v>
      </c>
      <c r="K42" t="str">
        <f ca="1"/>
        <v>AL15</v>
      </c>
      <c r="L42" t="str">
        <f ca="1"/>
        <v>AM15</v>
      </c>
      <c r="M42" t="str">
        <f ca="1"/>
        <v>AN15</v>
      </c>
      <c r="N42" t="str">
        <f ca="1"/>
        <v>AO15</v>
      </c>
      <c r="O42" t="str">
        <f ca="1"/>
        <v>AP15</v>
      </c>
      <c r="P42" t="str">
        <f ca="1"/>
        <v>AQ15</v>
      </c>
      <c r="Q42" t="str">
        <f ca="1"/>
        <v>AR15</v>
      </c>
      <c r="R42" t="str">
        <f ca="1"/>
        <v>AS15</v>
      </c>
      <c r="S42" t="str">
        <f ca="1"/>
        <v>AT15</v>
      </c>
      <c r="T42" t="str">
        <f ca="1"/>
        <v>AU15</v>
      </c>
      <c r="U42" t="str">
        <f ca="1"/>
        <v>AV15</v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2:26"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>AI16</v>
      </c>
      <c r="I43" t="str">
        <f ca="1"/>
        <v>AJ16</v>
      </c>
      <c r="J43" t="str">
        <f ca="1"/>
        <v>AK16</v>
      </c>
      <c r="K43" t="str">
        <f ca="1"/>
        <v>AL16</v>
      </c>
      <c r="L43" t="str">
        <f ca="1"/>
        <v>AM16</v>
      </c>
      <c r="M43" t="str">
        <f ca="1"/>
        <v>AN16</v>
      </c>
      <c r="N43" t="str">
        <f ca="1"/>
        <v>AO16</v>
      </c>
      <c r="O43" t="str">
        <f ca="1"/>
        <v>AP16</v>
      </c>
      <c r="P43" t="str">
        <f ca="1"/>
        <v>AQ16</v>
      </c>
      <c r="Q43" t="str">
        <f ca="1"/>
        <v>AR16</v>
      </c>
      <c r="R43" t="str">
        <f ca="1"/>
        <v>AS16</v>
      </c>
      <c r="S43" t="str">
        <f ca="1"/>
        <v>AT16</v>
      </c>
      <c r="T43" t="str">
        <f ca="1"/>
        <v>AU16</v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2:26"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>AJ17</v>
      </c>
      <c r="J44" t="str">
        <f ca="1"/>
        <v>AK17</v>
      </c>
      <c r="K44" t="str">
        <f ca="1"/>
        <v>AL17</v>
      </c>
      <c r="L44" t="str">
        <f ca="1"/>
        <v>AM17</v>
      </c>
      <c r="M44" t="str">
        <f ca="1"/>
        <v>AN17</v>
      </c>
      <c r="N44" t="str">
        <f ca="1"/>
        <v>AO17</v>
      </c>
      <c r="O44" t="str">
        <f ca="1"/>
        <v>AP17</v>
      </c>
      <c r="P44" t="str">
        <f ca="1"/>
        <v>AQ17</v>
      </c>
      <c r="Q44" t="str">
        <f ca="1"/>
        <v>AR17</v>
      </c>
      <c r="R44" t="str">
        <f ca="1"/>
        <v>AS17</v>
      </c>
      <c r="S44" t="str">
        <f ca="1"/>
        <v>AT17</v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2:26"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>AK18</v>
      </c>
      <c r="K45" t="str">
        <f ca="1"/>
        <v>AL18</v>
      </c>
      <c r="L45" t="str">
        <f ca="1"/>
        <v>AM18</v>
      </c>
      <c r="M45" t="str">
        <f ca="1"/>
        <v>AN18</v>
      </c>
      <c r="N45" t="str">
        <f ca="1"/>
        <v>AO18</v>
      </c>
      <c r="O45" t="str">
        <f ca="1"/>
        <v>AP18</v>
      </c>
      <c r="P45" t="str">
        <f ca="1"/>
        <v>AQ18</v>
      </c>
      <c r="Q45" t="str">
        <f ca="1"/>
        <v>AR18</v>
      </c>
      <c r="R45" t="str">
        <f ca="1"/>
        <v>AS18</v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2:26"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>AL19</v>
      </c>
      <c r="L46" t="str">
        <f ca="1"/>
        <v>AM19</v>
      </c>
      <c r="M46" t="str">
        <f ca="1"/>
        <v>AN19</v>
      </c>
      <c r="N46" t="str">
        <f ca="1"/>
        <v>AO19</v>
      </c>
      <c r="O46" t="str">
        <f ca="1"/>
        <v>AP19</v>
      </c>
      <c r="P46" t="str">
        <f ca="1"/>
        <v>AQ19</v>
      </c>
      <c r="Q46" t="str">
        <f ca="1"/>
        <v>AR19</v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2:26"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>AM20</v>
      </c>
      <c r="M47" t="str">
        <f ca="1"/>
        <v>AN20</v>
      </c>
      <c r="N47" t="str">
        <f ca="1"/>
        <v>AO20</v>
      </c>
      <c r="O47" t="str">
        <f ca="1"/>
        <v>AP20</v>
      </c>
      <c r="P47" t="str">
        <f ca="1"/>
        <v>AQ20</v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2:26"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>AN21</v>
      </c>
      <c r="N48" t="str">
        <f ca="1"/>
        <v>AO21</v>
      </c>
      <c r="O48" t="str">
        <f ca="1"/>
        <v>AP21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2:26"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>AO22</v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sheetPr codeName="Sheet4"/>
  <dimension ref="E2:N64"/>
  <sheetViews>
    <sheetView workbookViewId="0">
      <selection activeCell="I22" sqref="I22"/>
    </sheetView>
  </sheetViews>
  <sheetFormatPr defaultRowHeight="15"/>
  <cols>
    <col min="9" max="9" width="46.140625" customWidth="1"/>
    <col min="12" max="12" width="9.42578125" bestFit="1" customWidth="1"/>
    <col min="14" max="14" width="40.42578125" customWidth="1"/>
  </cols>
  <sheetData>
    <row r="2" spans="5:14">
      <c r="H2" s="27" t="s">
        <v>301</v>
      </c>
    </row>
    <row r="3" spans="5:14">
      <c r="H3" s="27" t="s">
        <v>300</v>
      </c>
    </row>
    <row r="4" spans="5:14">
      <c r="H4" s="27" t="s">
        <v>299</v>
      </c>
    </row>
    <row r="5" spans="5:14">
      <c r="E5" cm="1">
        <f t="array" ref="E5:E64">Lz_Sequence(10, 1, -1, 2, 3)</f>
        <v>10</v>
      </c>
    </row>
    <row r="6" spans="5:14">
      <c r="E6">
        <v>10</v>
      </c>
      <c r="H6" t="str" cm="1">
        <f t="array" ref="H6">Lz_LargePlus(H3:H4)</f>
        <v>32164131976480827344966339006041</v>
      </c>
      <c r="N6" t="str" cm="1" vm="1">
        <f t="array" aca="1" ref="N6" ca="1">_xlfn._xlws.PY(0,1,H3,H4)</f>
        <v>32164131976480827344966339006041</v>
      </c>
    </row>
    <row r="7" spans="5:14">
      <c r="E7">
        <v>9</v>
      </c>
    </row>
    <row r="8" spans="5:14">
      <c r="E8">
        <v>9</v>
      </c>
      <c r="H8" t="str" cm="1">
        <f t="array" ref="H8">Lz_LargeMult(H3, H4)</f>
        <v>256808525202652468471870844212555156132613155560796198</v>
      </c>
      <c r="N8" t="str" cm="1" vm="2">
        <f t="array" aca="1" ref="N8" ca="1">_xlfn._xlws.PY(1,1,H3,H4)</f>
        <v>256808525202652468471870844212555156132613155560796198</v>
      </c>
    </row>
    <row r="9" spans="5:14">
      <c r="E9">
        <v>8</v>
      </c>
    </row>
    <row r="10" spans="5:14">
      <c r="E10">
        <v>8</v>
      </c>
      <c r="H10" t="e" cm="1">
        <f t="array" ref="H10">_xlfn.LAMBDA(_xlpm.num,_xlpm.div,_xlfn.LET(_xlpm.x,_xlfn.SCAN(,IF(_xlfn.SEQUENCE(9),_xlpm.div),_xlfn.LAMBDA(_xlpm.a,_xlpm.v,Lz_LargePlus(_xlfn.HSTACK(_xlpm.a,_xlpm.v)))),_xlpm.ix,RIGHT(0&amp;_xlpm.x,MAX(LEN(_xlpm.x))),_xlpm.l,MAX(LEN(_xlpm.ix)), _xlpm.r,_xlfn.LAMBDA(_xlpm.r,_xlpm.a,_xlfn.LET(_xlpm.n,_xlfn.SINGLE(_xlfn.TAKE(_xlpm.a,-1,-1)),_xlpm.m,RIGHT(REPT(0,_xlpm.l)&amp;_xlpm.n,MAX(LEN(_xlpm.n),_xlpm.l)),_xlpm.i,MATCH(_xlpm.m,_xlpm.ix), IF(-_xlpm.n&lt;-_xlpm.div,_xlpm.r(_xlpm.r,_xlfn.VSTACK(_xlpm.a,_xlfn.HSTACK(LEN(_xlpm.m)-_xlpm.l,_xlpm.i,Lz_LargePlus(_xlfn.HSTACK(_xlpm.m,INDEX(_xlpm.ix,_xlpm.i)&amp;REPT(0,LEN(_xlpm.m)-_xlpm.l)),1)))),_xlfn.DROP(_xlpm.a,1)))),_xlpm.nd,_xlpm.r(_xlpm.r,_xlpm.num), _xlpm.g,_xlfn.GROUPBY(_xlfn.TAKE(_xlpm.nd,,1),INDEX(_xlpm.nd,,2),_xleta.SUM,,0),Lz_LargePlus(TEXT(_xlfn.DROP(_xlpm.g,,1)*10^_xlfn.TAKE(_xlpm.g,,1),0))))(H4,H2)</f>
        <v>#N/A</v>
      </c>
    </row>
    <row r="11" spans="5:14">
      <c r="E11">
        <v>7</v>
      </c>
    </row>
    <row r="12" spans="5:14">
      <c r="E12">
        <v>7</v>
      </c>
      <c r="H12" t="e" cm="1">
        <f t="array" ref="H12">_xlfn.LAMBDA(_xlpm.num,_xlpm.div,_xlfn.LET(_xlpm.x,_xlfn.SCAN(,IF(_xlfn.SEQUENCE(9),_xlpm.div),_xlfn.LAMBDA(_xlpm.a,_xlpm.v,Lz_LargePlus(_xlfn.HSTACK(_xlpm.a,_xlpm.v)))),_xlpm.ix,RIGHT(0&amp;_xlpm.x,MAX(LEN(_xlpm.x))),_xlpm.l,MAX(LEN(_xlpm.ix)), _xlpm.r,_xlfn.LAMBDA(_xlpm.r,_xlpm.a,_xlfn.LET(_xlpm.n,_xlfn.SINGLE(_xlfn.TAKE(_xlpm.a,-1,-1)),_xlpm.m,RIGHT(REPT(0,_xlpm.l)&amp;_xlpm.n,MAX(LEN(_xlpm.n),_xlpm.l)),_xlpm.i,MATCH(_xlpm.m,_xlpm.ix), IF(-_xlpm.n&lt;-_xlpm.div,_xlpm.r(_xlpm.r,_xlfn.VSTACK(_xlpm.a,_xlfn.HSTACK(LEN(_xlpm.m)-_xlpm.l,_xlpm.i,Lz_LargePlus(_xlfn.HSTACK(_xlpm.m,INDEX(_xlpm.ix,_xlpm.i)&amp;REPT(0,LEN(_xlpm.m)-_xlpm.l)),1)))),_xlfn.DROP(_xlpm.a,1)))),_xlpm.nd,_xlpm.r(_xlpm.r,_xlpm.num), _xlpm.g,_xlfn.GROUPBY(_xlfn.TAKE(_xlpm.nd,,1),INDEX(_xlpm.nd,,2),_xleta.SUM,,0),Lz_LargePlus(TEXT(_xlfn.DROP(_xlpm.g,,1)*10^_xlfn.TAKE(_xlpm.g,,1),0))))(H3,H2)</f>
        <v>#N/A</v>
      </c>
    </row>
    <row r="13" spans="5:14">
      <c r="E13">
        <v>6</v>
      </c>
      <c r="N13" t="str" cm="1">
        <f t="array" ref="N13">Ha_Num2Word(33)</f>
        <v>thirty-three</v>
      </c>
    </row>
    <row r="14" spans="5:14">
      <c r="E14">
        <v>6</v>
      </c>
      <c r="G14">
        <v>10</v>
      </c>
    </row>
    <row r="15" spans="5:14">
      <c r="E15">
        <v>5</v>
      </c>
      <c r="G15">
        <v>7</v>
      </c>
    </row>
    <row r="16" spans="5:14">
      <c r="E16">
        <v>5</v>
      </c>
    </row>
    <row r="17" spans="5:8">
      <c r="E17">
        <v>4</v>
      </c>
      <c r="H17" t="str" cm="1">
        <f t="array" ref="H17">Lz_LargePower(G14, G15)</f>
        <v>10000000</v>
      </c>
    </row>
    <row r="18" spans="5:8">
      <c r="E18">
        <v>4</v>
      </c>
    </row>
    <row r="19" spans="5:8">
      <c r="E19">
        <v>3</v>
      </c>
    </row>
    <row r="20" spans="5:8">
      <c r="E20">
        <v>3</v>
      </c>
    </row>
    <row r="21" spans="5:8">
      <c r="E21">
        <v>2</v>
      </c>
    </row>
    <row r="22" spans="5:8">
      <c r="E22">
        <v>2</v>
      </c>
    </row>
    <row r="23" spans="5:8">
      <c r="E23">
        <v>1</v>
      </c>
    </row>
    <row r="24" spans="5:8">
      <c r="E24">
        <v>1</v>
      </c>
    </row>
    <row r="25" spans="5:8">
      <c r="E25">
        <v>10</v>
      </c>
    </row>
    <row r="26" spans="5:8">
      <c r="E26">
        <v>10</v>
      </c>
    </row>
    <row r="27" spans="5:8">
      <c r="E27">
        <v>9</v>
      </c>
    </row>
    <row r="28" spans="5:8">
      <c r="E28">
        <v>9</v>
      </c>
    </row>
    <row r="29" spans="5:8">
      <c r="E29">
        <v>8</v>
      </c>
    </row>
    <row r="30" spans="5:8">
      <c r="E30">
        <v>8</v>
      </c>
    </row>
    <row r="31" spans="5:8">
      <c r="E31">
        <v>7</v>
      </c>
    </row>
    <row r="32" spans="5:8">
      <c r="E32">
        <v>7</v>
      </c>
    </row>
    <row r="33" spans="5:5">
      <c r="E33">
        <v>6</v>
      </c>
    </row>
    <row r="34" spans="5:5">
      <c r="E34">
        <v>6</v>
      </c>
    </row>
    <row r="35" spans="5:5">
      <c r="E35">
        <v>5</v>
      </c>
    </row>
    <row r="36" spans="5:5">
      <c r="E36">
        <v>5</v>
      </c>
    </row>
    <row r="37" spans="5:5">
      <c r="E37">
        <v>4</v>
      </c>
    </row>
    <row r="38" spans="5:5">
      <c r="E38">
        <v>4</v>
      </c>
    </row>
    <row r="39" spans="5:5">
      <c r="E39">
        <v>3</v>
      </c>
    </row>
    <row r="40" spans="5:5">
      <c r="E40">
        <v>3</v>
      </c>
    </row>
    <row r="41" spans="5:5">
      <c r="E41">
        <v>2</v>
      </c>
    </row>
    <row r="42" spans="5:5">
      <c r="E42">
        <v>2</v>
      </c>
    </row>
    <row r="43" spans="5:5">
      <c r="E43">
        <v>1</v>
      </c>
    </row>
    <row r="44" spans="5:5">
      <c r="E44">
        <v>1</v>
      </c>
    </row>
    <row r="45" spans="5:5">
      <c r="E45">
        <v>10</v>
      </c>
    </row>
    <row r="46" spans="5:5">
      <c r="E46">
        <v>10</v>
      </c>
    </row>
    <row r="47" spans="5:5">
      <c r="E47">
        <v>9</v>
      </c>
    </row>
    <row r="48" spans="5:5">
      <c r="E48">
        <v>9</v>
      </c>
    </row>
    <row r="49" spans="5:5">
      <c r="E49">
        <v>8</v>
      </c>
    </row>
    <row r="50" spans="5:5">
      <c r="E50">
        <v>8</v>
      </c>
    </row>
    <row r="51" spans="5:5">
      <c r="E51">
        <v>7</v>
      </c>
    </row>
    <row r="52" spans="5:5">
      <c r="E52">
        <v>7</v>
      </c>
    </row>
    <row r="53" spans="5:5">
      <c r="E53">
        <v>6</v>
      </c>
    </row>
    <row r="54" spans="5:5">
      <c r="E54">
        <v>6</v>
      </c>
    </row>
    <row r="55" spans="5:5">
      <c r="E55">
        <v>5</v>
      </c>
    </row>
    <row r="56" spans="5:5">
      <c r="E56">
        <v>5</v>
      </c>
    </row>
    <row r="57" spans="5:5">
      <c r="E57">
        <v>4</v>
      </c>
    </row>
    <row r="58" spans="5:5">
      <c r="E58">
        <v>4</v>
      </c>
    </row>
    <row r="59" spans="5:5">
      <c r="E59">
        <v>3</v>
      </c>
    </row>
    <row r="60" spans="5:5">
      <c r="E60">
        <v>3</v>
      </c>
    </row>
    <row r="61" spans="5:5">
      <c r="E61">
        <v>2</v>
      </c>
    </row>
    <row r="62" spans="5:5">
      <c r="E62">
        <v>2</v>
      </c>
    </row>
    <row r="63" spans="5:5">
      <c r="E63">
        <v>1</v>
      </c>
    </row>
    <row r="64" spans="5:5">
      <c r="E6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9504-D93C-4F9D-AB67-7600C9C6C450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X111"/>
  <sheetViews>
    <sheetView workbookViewId="0"/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7" max="17" width="9.140625" customWidth="1"/>
  </cols>
  <sheetData>
    <row r="1" spans="2:50">
      <c r="B1" t="s">
        <v>228</v>
      </c>
      <c r="W1" t="s">
        <v>207</v>
      </c>
      <c r="X1" t="s">
        <v>208</v>
      </c>
      <c r="AA1" cm="1">
        <f t="array" ref="AA1:AK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</row>
    <row r="2" spans="2:50">
      <c r="B2" s="2" cm="1">
        <f t="array" ref="B2:L11">_xlfn.SEQUENCE(10,11)</f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W2" t="str" cm="1">
        <f t="array" ref="W2:W111">_xlfn.TOCOL(AddressOfCells(_xlfn.ANCHORARRAY(B2)))</f>
        <v>B2</v>
      </c>
      <c r="X2" cm="1">
        <f t="array" ref="X2:X111">_xlfn.TOCOL(_xlfn.ANCHORARRAY(B2))</f>
        <v>1</v>
      </c>
      <c r="Z2" cm="1">
        <f t="array" ref="Z2:Z11">_xlfn.SEQUENCE(C14)</f>
        <v>1</v>
      </c>
      <c r="AA2" cm="1">
        <f t="array" ref="AA2:AK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N2" cm="1">
        <f t="array" ref="AN2:AX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  <c r="AX2">
        <v>-10</v>
      </c>
    </row>
    <row r="3" spans="2:50">
      <c r="B3" s="2">
        <v>12</v>
      </c>
      <c r="C3" s="2">
        <v>13</v>
      </c>
      <c r="D3" s="2">
        <v>14</v>
      </c>
      <c r="E3" s="2">
        <v>15</v>
      </c>
      <c r="F3" s="2">
        <v>16</v>
      </c>
      <c r="G3" s="2">
        <v>17</v>
      </c>
      <c r="H3" s="2">
        <v>18</v>
      </c>
      <c r="I3" s="2">
        <v>19</v>
      </c>
      <c r="J3" s="2">
        <v>20</v>
      </c>
      <c r="K3" s="2">
        <v>21</v>
      </c>
      <c r="L3" s="2">
        <v>22</v>
      </c>
      <c r="W3" t="str">
        <v>C2</v>
      </c>
      <c r="X3">
        <v>2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  <c r="AX3">
        <v>-9</v>
      </c>
    </row>
    <row r="4" spans="2:50">
      <c r="B4" s="2">
        <v>23</v>
      </c>
      <c r="C4" s="2">
        <v>24</v>
      </c>
      <c r="D4" s="2">
        <v>25</v>
      </c>
      <c r="E4" s="2">
        <v>26</v>
      </c>
      <c r="F4" s="2">
        <v>27</v>
      </c>
      <c r="G4" s="2">
        <v>28</v>
      </c>
      <c r="H4" s="2">
        <v>29</v>
      </c>
      <c r="I4" s="2">
        <v>30</v>
      </c>
      <c r="J4" s="2">
        <v>31</v>
      </c>
      <c r="K4" s="2">
        <v>32</v>
      </c>
      <c r="L4" s="2">
        <v>33</v>
      </c>
      <c r="W4" t="str">
        <v>D2</v>
      </c>
      <c r="X4">
        <v>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K4">
        <v>14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  <c r="AX4">
        <v>-8</v>
      </c>
    </row>
    <row r="5" spans="2:50">
      <c r="B5" s="2">
        <v>34</v>
      </c>
      <c r="C5" s="2">
        <v>35</v>
      </c>
      <c r="D5" s="2">
        <v>36</v>
      </c>
      <c r="E5" s="2">
        <v>37</v>
      </c>
      <c r="F5" s="2">
        <v>38</v>
      </c>
      <c r="G5" s="2">
        <v>39</v>
      </c>
      <c r="H5" s="2">
        <v>40</v>
      </c>
      <c r="I5" s="2">
        <v>41</v>
      </c>
      <c r="J5" s="2">
        <v>42</v>
      </c>
      <c r="K5" s="2">
        <v>43</v>
      </c>
      <c r="L5" s="2">
        <v>44</v>
      </c>
      <c r="W5" t="str">
        <v>E2</v>
      </c>
      <c r="X5">
        <v>4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K5">
        <v>15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  <c r="AX5">
        <v>-7</v>
      </c>
    </row>
    <row r="6" spans="2:50">
      <c r="B6" s="2">
        <v>45</v>
      </c>
      <c r="C6" s="2">
        <v>46</v>
      </c>
      <c r="D6" s="2">
        <v>47</v>
      </c>
      <c r="E6" s="2">
        <v>48</v>
      </c>
      <c r="F6" s="2">
        <v>49</v>
      </c>
      <c r="G6" s="2">
        <v>50</v>
      </c>
      <c r="H6" s="2">
        <v>51</v>
      </c>
      <c r="I6" s="2">
        <v>52</v>
      </c>
      <c r="J6" s="2">
        <v>53</v>
      </c>
      <c r="K6" s="2">
        <v>54</v>
      </c>
      <c r="L6" s="2">
        <v>55</v>
      </c>
      <c r="W6" t="str">
        <v>F2</v>
      </c>
      <c r="X6">
        <v>5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K6">
        <v>16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  <c r="AX6">
        <v>-6</v>
      </c>
    </row>
    <row r="7" spans="2:50">
      <c r="B7" s="2">
        <v>56</v>
      </c>
      <c r="C7" s="2">
        <v>57</v>
      </c>
      <c r="D7" s="2">
        <v>58</v>
      </c>
      <c r="E7" s="2">
        <v>59</v>
      </c>
      <c r="F7" s="2">
        <v>60</v>
      </c>
      <c r="G7" s="2">
        <v>61</v>
      </c>
      <c r="H7" s="2">
        <v>62</v>
      </c>
      <c r="I7" s="2">
        <v>63</v>
      </c>
      <c r="J7" s="2">
        <v>64</v>
      </c>
      <c r="K7" s="2">
        <v>65</v>
      </c>
      <c r="L7" s="2">
        <v>66</v>
      </c>
      <c r="W7" t="str">
        <v>G2</v>
      </c>
      <c r="X7">
        <v>6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K7">
        <v>17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  <c r="AX7">
        <v>-5</v>
      </c>
    </row>
    <row r="8" spans="2:50">
      <c r="B8" s="2">
        <v>67</v>
      </c>
      <c r="C8" s="2">
        <v>68</v>
      </c>
      <c r="D8" s="2">
        <v>69</v>
      </c>
      <c r="E8" s="2">
        <v>70</v>
      </c>
      <c r="F8" s="2">
        <v>71</v>
      </c>
      <c r="G8" s="2">
        <v>72</v>
      </c>
      <c r="H8" s="2">
        <v>73</v>
      </c>
      <c r="I8" s="2">
        <v>74</v>
      </c>
      <c r="J8" s="2">
        <v>75</v>
      </c>
      <c r="K8" s="2">
        <v>76</v>
      </c>
      <c r="L8" s="2">
        <v>77</v>
      </c>
      <c r="W8" t="str">
        <v>H2</v>
      </c>
      <c r="X8">
        <v>7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K8">
        <v>18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  <c r="AX8">
        <v>-4</v>
      </c>
    </row>
    <row r="9" spans="2:50">
      <c r="B9" s="2">
        <v>78</v>
      </c>
      <c r="C9" s="2">
        <v>79</v>
      </c>
      <c r="D9" s="2">
        <v>80</v>
      </c>
      <c r="E9" s="2">
        <v>81</v>
      </c>
      <c r="F9" s="2">
        <v>82</v>
      </c>
      <c r="G9" s="2">
        <v>83</v>
      </c>
      <c r="H9" s="2">
        <v>84</v>
      </c>
      <c r="I9" s="2">
        <v>85</v>
      </c>
      <c r="J9" s="2">
        <v>86</v>
      </c>
      <c r="K9" s="2">
        <v>87</v>
      </c>
      <c r="L9" s="2">
        <v>88</v>
      </c>
      <c r="W9" t="str">
        <v>I2</v>
      </c>
      <c r="X9">
        <v>8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K9">
        <v>19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  <c r="AX9">
        <v>-3</v>
      </c>
    </row>
    <row r="10" spans="2:50">
      <c r="B10" s="2">
        <v>89</v>
      </c>
      <c r="C10" s="2">
        <v>90</v>
      </c>
      <c r="D10" s="2">
        <v>91</v>
      </c>
      <c r="E10" s="2">
        <v>92</v>
      </c>
      <c r="F10" s="2">
        <v>93</v>
      </c>
      <c r="G10" s="2">
        <v>94</v>
      </c>
      <c r="H10" s="2">
        <v>95</v>
      </c>
      <c r="I10" s="2">
        <v>96</v>
      </c>
      <c r="J10" s="2">
        <v>97</v>
      </c>
      <c r="K10" s="2">
        <v>98</v>
      </c>
      <c r="L10" s="2">
        <v>99</v>
      </c>
      <c r="W10" t="str">
        <v>J2</v>
      </c>
      <c r="X10">
        <v>9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K10">
        <v>20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  <c r="AX10">
        <v>-2</v>
      </c>
    </row>
    <row r="11" spans="2:50">
      <c r="B11" s="2">
        <v>100</v>
      </c>
      <c r="C11" s="2">
        <v>101</v>
      </c>
      <c r="D11" s="2">
        <v>102</v>
      </c>
      <c r="E11" s="2">
        <v>103</v>
      </c>
      <c r="F11" s="2">
        <v>104</v>
      </c>
      <c r="G11" s="2">
        <v>105</v>
      </c>
      <c r="H11" s="2">
        <v>106</v>
      </c>
      <c r="I11" s="2">
        <v>107</v>
      </c>
      <c r="J11" s="2">
        <v>108</v>
      </c>
      <c r="K11" s="2">
        <v>109</v>
      </c>
      <c r="L11" s="2">
        <v>110</v>
      </c>
      <c r="W11" t="str">
        <v>K2</v>
      </c>
      <c r="X11">
        <v>10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K11">
        <v>21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  <c r="AX11">
        <v>-1</v>
      </c>
    </row>
    <row r="12" spans="2:50">
      <c r="W12" t="str">
        <v>L2</v>
      </c>
      <c r="X12">
        <v>11</v>
      </c>
    </row>
    <row r="13" spans="2:50">
      <c r="W13" t="str">
        <v>B3</v>
      </c>
      <c r="X13">
        <v>12</v>
      </c>
    </row>
    <row r="14" spans="2:50">
      <c r="B14" t="s">
        <v>203</v>
      </c>
      <c r="C14">
        <f>ROWS(_xlfn.ANCHORARRAY(B2))</f>
        <v>10</v>
      </c>
      <c r="E14" t="s">
        <v>209</v>
      </c>
      <c r="F14">
        <f>MIN(RowNum(_xlfn.ANCHORARRAY(W2)))</f>
        <v>2</v>
      </c>
      <c r="W14" t="str">
        <v>C3</v>
      </c>
      <c r="X14">
        <v>13</v>
      </c>
    </row>
    <row r="15" spans="2:50">
      <c r="B15" t="s">
        <v>204</v>
      </c>
      <c r="C15">
        <f>COLUMNS(_xlfn.ANCHORARRAY(B2))</f>
        <v>11</v>
      </c>
      <c r="E15" t="s">
        <v>210</v>
      </c>
      <c r="F15">
        <f>MAX(RowNum(_xlfn.ANCHORARRAY(W2)))</f>
        <v>11</v>
      </c>
      <c r="W15" t="str">
        <v>D3</v>
      </c>
      <c r="X15">
        <v>14</v>
      </c>
    </row>
    <row r="16" spans="2:50">
      <c r="B16" t="s">
        <v>205</v>
      </c>
      <c r="C16">
        <f>MAX(C14:C15)</f>
        <v>11</v>
      </c>
      <c r="E16" t="s">
        <v>211</v>
      </c>
      <c r="F16">
        <f>MIN(ColNum(_xlfn.ANCHORARRAY(W2)))</f>
        <v>2</v>
      </c>
      <c r="W16" t="str">
        <v>E3</v>
      </c>
      <c r="X16">
        <v>15</v>
      </c>
    </row>
    <row r="17" spans="2:36">
      <c r="B17" t="s">
        <v>206</v>
      </c>
      <c r="C17">
        <f>C14+C15-1</f>
        <v>20</v>
      </c>
      <c r="E17" t="s">
        <v>212</v>
      </c>
      <c r="F17">
        <f>MAX(ColNum(_xlfn.ANCHORARRAY(W2)))</f>
        <v>12</v>
      </c>
      <c r="W17" t="str">
        <v>F3</v>
      </c>
      <c r="X17">
        <v>16</v>
      </c>
    </row>
    <row r="18" spans="2:36">
      <c r="W18" t="str">
        <v>G3</v>
      </c>
      <c r="X18">
        <v>17</v>
      </c>
    </row>
    <row r="19" spans="2:36">
      <c r="D19" t="s">
        <v>214</v>
      </c>
      <c r="E19" t="s">
        <v>215</v>
      </c>
      <c r="G19" t="s">
        <v>216</v>
      </c>
      <c r="H19" t="s">
        <v>217</v>
      </c>
      <c r="I19" t="s">
        <v>223</v>
      </c>
      <c r="K19" t="s">
        <v>218</v>
      </c>
      <c r="L19" t="s">
        <v>219</v>
      </c>
      <c r="N19" t="s">
        <v>221</v>
      </c>
      <c r="O19" t="s">
        <v>222</v>
      </c>
      <c r="P19" t="s">
        <v>224</v>
      </c>
      <c r="W19" t="str">
        <v>H3</v>
      </c>
      <c r="X19">
        <v>18</v>
      </c>
    </row>
    <row r="20" spans="2:36">
      <c r="C20" t="s">
        <v>213</v>
      </c>
      <c r="D20" cm="1">
        <f t="array" ref="D20:D39">Lz_Median(_xlfn.SEQUENCE(C17,,F14),F15,F14)</f>
        <v>2</v>
      </c>
      <c r="E20" cm="1">
        <f t="array" ref="E20:E39">Lz_Median(_xlfn.SEQUENCE(C17,,F17-C17+1),F17,F16)</f>
        <v>2</v>
      </c>
      <c r="G20" t="str" cm="1">
        <f t="array" ref="G20:G39">_xlfn.MAP(_xlfn.ANCHORARRAY(H20),_xlfn.LAMBDA(_xlpm.u,_xlfn.TEXTJOIN("|",,_xlfn.XLOOKUP(_xlfn.TEXTSPLIT(_xlpm.u,,"|"),_xlfn.ANCHORARRAY($W$2),_xlfn.ANCHORARRAY($X$2)))))</f>
        <v>1</v>
      </c>
      <c r="H20" t="str" cm="1">
        <f t="array" ref="H20:H39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9">IF(_xlfn.ANCHORARRAY(H20)&lt;&gt;"","D")</f>
        <v>D</v>
      </c>
      <c r="J20" t="s">
        <v>220</v>
      </c>
      <c r="K20" cm="1">
        <f t="array" ref="K20:K39">Lz_Median(_xlfn.SEQUENCE(C17,,F15,-1),F15,F14)</f>
        <v>11</v>
      </c>
      <c r="L20" cm="1">
        <f t="array" ref="L20:L39">Lz_Median(_xlfn.SEQUENCE(C17,,F17-C17+1),F17,F16)</f>
        <v>2</v>
      </c>
      <c r="N20" t="str" cm="1">
        <f t="array" ref="N20:N39">_xlfn.MAP(_xlfn.ANCHORARRAY(O20),_xlfn.LAMBDA(_xlpm.u,_xlfn.TEXTJOIN("|",,_xlfn.XLOOKUP(_xlfn.TEXTSPLIT(_xlpm.u,,"|"),_xlfn.ANCHORARRAY($W$2),_xlfn.ANCHORARRAY($X$2)))))</f>
        <v>100</v>
      </c>
      <c r="O20" t="str" cm="1">
        <f t="array" ref="O20:O39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9">IF(_xlfn.ANCHORARRAY(O20)&lt;&gt;"","U")</f>
        <v>U</v>
      </c>
      <c r="R20" t="str" cm="1">
        <f t="array" ref="R20:R39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I3</v>
      </c>
      <c r="X20">
        <v>19</v>
      </c>
      <c r="AD20" t="str" cm="1">
        <f t="array" ref="AD20:AD39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9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12|2</v>
      </c>
      <c r="H21" t="str">
        <v>B3|C2</v>
      </c>
      <c r="I21" t="str">
        <v>D</v>
      </c>
      <c r="K21">
        <v>10</v>
      </c>
      <c r="L21">
        <v>2</v>
      </c>
      <c r="N21" t="str">
        <v>89|101</v>
      </c>
      <c r="O21" t="str">
        <v>B10|C11</v>
      </c>
      <c r="P21" t="str">
        <v>U</v>
      </c>
      <c r="R21" t="str">
        <v>B3|C2</v>
      </c>
      <c r="W21" t="str">
        <v>J3</v>
      </c>
      <c r="X21">
        <v>20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23|13|3</v>
      </c>
      <c r="H22" t="str">
        <v>B4|C3|D2</v>
      </c>
      <c r="I22" t="str">
        <v>D</v>
      </c>
      <c r="K22">
        <v>9</v>
      </c>
      <c r="L22">
        <v>2</v>
      </c>
      <c r="N22" t="str">
        <v>78|90|102</v>
      </c>
      <c r="O22" t="str">
        <v>B9|C10|D11</v>
      </c>
      <c r="P22" t="str">
        <v>U</v>
      </c>
      <c r="R22" t="str">
        <v>B4|C3|D2</v>
      </c>
      <c r="W22" t="str">
        <v>K3</v>
      </c>
      <c r="X22">
        <v>21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34|24|14|4</v>
      </c>
      <c r="H23" t="str">
        <v>B5|C4|D3|E2</v>
      </c>
      <c r="I23" t="str">
        <v>D</v>
      </c>
      <c r="K23">
        <v>8</v>
      </c>
      <c r="L23">
        <v>2</v>
      </c>
      <c r="N23" t="str">
        <v>67|79|91|103</v>
      </c>
      <c r="O23" t="str">
        <v>B8|C9|D10|E11</v>
      </c>
      <c r="P23" t="str">
        <v>U</v>
      </c>
      <c r="R23" t="str">
        <v>B5|C4|D3|E2</v>
      </c>
      <c r="W23" t="str">
        <v>L3</v>
      </c>
      <c r="X23">
        <v>22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45|35|25|15|5</v>
      </c>
      <c r="H24" t="str">
        <v>B6|C5|D4|E3|F2</v>
      </c>
      <c r="I24" t="str">
        <v>D</v>
      </c>
      <c r="K24">
        <v>7</v>
      </c>
      <c r="L24">
        <v>2</v>
      </c>
      <c r="N24" t="str">
        <v>56|68|80|92|104</v>
      </c>
      <c r="O24" t="str">
        <v>B7|C8|D9|E10|F11</v>
      </c>
      <c r="P24" t="str">
        <v>U</v>
      </c>
      <c r="R24" t="str">
        <v>B6|C5|D4|E3|F2</v>
      </c>
      <c r="W24" t="str">
        <v>B4</v>
      </c>
      <c r="X24">
        <v>23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56|46|36|26|16|6</v>
      </c>
      <c r="H25" t="str">
        <v>B7|C6|D5|E4|F3|G2</v>
      </c>
      <c r="I25" t="str">
        <v>D</v>
      </c>
      <c r="K25">
        <v>6</v>
      </c>
      <c r="L25">
        <v>2</v>
      </c>
      <c r="N25" t="str">
        <v>45|57|69|81|93|105</v>
      </c>
      <c r="O25" t="str">
        <v>B6|C7|D8|E9|F10|G11</v>
      </c>
      <c r="P25" t="str">
        <v>U</v>
      </c>
      <c r="R25" t="str">
        <v>B7|C6|D5|E4|F3|G2</v>
      </c>
      <c r="W25" t="str">
        <v>C4</v>
      </c>
      <c r="X25">
        <v>24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67|57|47|37|27|17|7</v>
      </c>
      <c r="H26" t="str">
        <v>B8|C7|D6|E5|F4|G3|H2</v>
      </c>
      <c r="I26" t="str">
        <v>D</v>
      </c>
      <c r="K26">
        <v>5</v>
      </c>
      <c r="L26">
        <v>2</v>
      </c>
      <c r="N26" t="str">
        <v>34|46|58|70|82|94|106</v>
      </c>
      <c r="O26" t="str">
        <v>B5|C6|D7|E8|F9|G10|H11</v>
      </c>
      <c r="P26" t="str">
        <v>U</v>
      </c>
      <c r="R26" t="str">
        <v>B8|C7|D6|E5|F4|G3|H2</v>
      </c>
      <c r="W26" t="str">
        <v>D4</v>
      </c>
      <c r="X26">
        <v>25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78|68|58|48|38|28|18|8</v>
      </c>
      <c r="H27" t="str">
        <v>B9|C8|D7|E6|F5|G4|H3|I2</v>
      </c>
      <c r="I27" t="str">
        <v>D</v>
      </c>
      <c r="K27">
        <v>4</v>
      </c>
      <c r="L27">
        <v>2</v>
      </c>
      <c r="N27" t="str">
        <v>23|35|47|59|71|83|95|107</v>
      </c>
      <c r="O27" t="str">
        <v>B4|C5|D6|E7|F8|G9|H10|I11</v>
      </c>
      <c r="P27" t="str">
        <v>U</v>
      </c>
      <c r="R27" t="str">
        <v>B9|C8|D7|E6|F5|G4|H3|I2</v>
      </c>
      <c r="W27" t="str">
        <v>E4</v>
      </c>
      <c r="X27">
        <v>26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89|79|69|59|49|39|29|19|9</v>
      </c>
      <c r="H28" t="str">
        <v>B10|C9|D8|E7|F6|G5|H4|I3|J2</v>
      </c>
      <c r="I28" t="str">
        <v>D</v>
      </c>
      <c r="K28">
        <v>3</v>
      </c>
      <c r="L28">
        <v>2</v>
      </c>
      <c r="N28" t="str">
        <v>12|24|36|48|60|72|84|96|108</v>
      </c>
      <c r="O28" t="str">
        <v>B3|C4|D5|E6|F7|G8|H9|I10|J11</v>
      </c>
      <c r="P28" t="str">
        <v>U</v>
      </c>
      <c r="R28" t="str">
        <v>B10|C9|D8|E7|F6|G5|H4|I3|J2</v>
      </c>
      <c r="W28" t="str">
        <v>F4</v>
      </c>
      <c r="X28">
        <v>27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100|90|80|70|60|50|40|30|20|10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1|13|25|37|49|61|73|85|97|109</v>
      </c>
      <c r="O29" t="str">
        <v>B2|C3|D4|E5|F6|G7|H8|I9|J10|K11</v>
      </c>
      <c r="P29" t="str">
        <v>U</v>
      </c>
      <c r="R29" t="str">
        <v>B11|C10|D9|E8|F7|G6|H5|I4|J3|K2</v>
      </c>
      <c r="W29" t="str">
        <v>G4</v>
      </c>
      <c r="X29">
        <v>28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101|91|81|71|61|51|41|31|21|11</v>
      </c>
      <c r="H30" t="str">
        <v>C11|D10|E9|F8|G7|H6|I5|J4|K3|L2</v>
      </c>
      <c r="I30" t="str">
        <v>D</v>
      </c>
      <c r="K30">
        <v>2</v>
      </c>
      <c r="L30">
        <v>3</v>
      </c>
      <c r="N30" t="str">
        <v>2|14|26|38|50|62|74|86|98|110</v>
      </c>
      <c r="O30" t="str">
        <v>C2|D3|E4|F5|G6|H7|I8|J9|K10|L11</v>
      </c>
      <c r="P30" t="str">
        <v>U</v>
      </c>
      <c r="R30" t="str">
        <v>C11|D10|E9|F8|G7|H6|I5|J4|K3|L2</v>
      </c>
      <c r="W30" t="str">
        <v>H4</v>
      </c>
      <c r="X30">
        <v>29</v>
      </c>
      <c r="AD30" t="str">
        <v>C11|D10|E9|F8|G7|H6|I5|J4|K3|L2</v>
      </c>
      <c r="AJ30" t="str">
        <v>C2|D3|E4|F5|G6|H7|I8|J9|K10|L11</v>
      </c>
    </row>
    <row r="31" spans="2:36">
      <c r="D31">
        <v>11</v>
      </c>
      <c r="E31">
        <v>4</v>
      </c>
      <c r="G31" t="str">
        <v>102|92|82|72|62|52|42|32|22</v>
      </c>
      <c r="H31" t="str">
        <v>D11|E10|F9|G8|H7|I6|J5|K4|L3</v>
      </c>
      <c r="I31" t="str">
        <v>D</v>
      </c>
      <c r="K31">
        <v>2</v>
      </c>
      <c r="L31">
        <v>4</v>
      </c>
      <c r="N31" t="str">
        <v>3|15|27|39|51|63|75|87|99</v>
      </c>
      <c r="O31" t="str">
        <v>D2|E3|F4|G5|H6|I7|J8|K9|L10</v>
      </c>
      <c r="P31" t="str">
        <v>U</v>
      </c>
      <c r="R31" t="str">
        <v>D11|E10|F9|G8|H7|I6|J5|K4|L3</v>
      </c>
      <c r="W31" t="str">
        <v>I4</v>
      </c>
      <c r="X31">
        <v>30</v>
      </c>
      <c r="AD31" t="str">
        <v>D11|E10|F9|G8|H7|I6|J5|K4|L3</v>
      </c>
      <c r="AJ31" t="str">
        <v>D2|E3|F4|G5|H6|I7|J8|K9|L10</v>
      </c>
    </row>
    <row r="32" spans="2:36">
      <c r="D32">
        <v>11</v>
      </c>
      <c r="E32">
        <v>5</v>
      </c>
      <c r="G32" t="str">
        <v>103|93|83|73|63|53|43|33</v>
      </c>
      <c r="H32" t="str">
        <v>E11|F10|G9|H8|I7|J6|K5|L4</v>
      </c>
      <c r="I32" t="str">
        <v>D</v>
      </c>
      <c r="K32">
        <v>2</v>
      </c>
      <c r="L32">
        <v>5</v>
      </c>
      <c r="N32" t="str">
        <v>4|16|28|40|52|64|76|88</v>
      </c>
      <c r="O32" t="str">
        <v>E2|F3|G4|H5|I6|J7|K8|L9</v>
      </c>
      <c r="P32" t="str">
        <v>U</v>
      </c>
      <c r="R32" t="str">
        <v>E11|F10|G9|H8|I7|J6|K5|L4</v>
      </c>
      <c r="W32" t="str">
        <v>J4</v>
      </c>
      <c r="X32">
        <v>31</v>
      </c>
      <c r="AD32" t="str">
        <v>E11|F10|G9|H8|I7|J6|K5|L4</v>
      </c>
      <c r="AJ32" t="str">
        <v>E2|F3|G4|H5|I6|J7|K8|L9</v>
      </c>
    </row>
    <row r="33" spans="2:36">
      <c r="D33">
        <v>11</v>
      </c>
      <c r="E33">
        <v>6</v>
      </c>
      <c r="G33" t="str">
        <v>104|94|84|74|64|54|44</v>
      </c>
      <c r="H33" t="str">
        <v>F11|G10|H9|I8|J7|K6|L5</v>
      </c>
      <c r="I33" t="str">
        <v>D</v>
      </c>
      <c r="K33">
        <v>2</v>
      </c>
      <c r="L33">
        <v>6</v>
      </c>
      <c r="N33" t="str">
        <v>5|17|29|41|53|65|77</v>
      </c>
      <c r="O33" t="str">
        <v>F2|G3|H4|I5|J6|K7|L8</v>
      </c>
      <c r="P33" t="str">
        <v>U</v>
      </c>
      <c r="R33" t="str">
        <v>F11|G10|H9|I8|J7|K6|L5</v>
      </c>
      <c r="W33" t="str">
        <v>K4</v>
      </c>
      <c r="X33">
        <v>32</v>
      </c>
      <c r="AD33" t="str">
        <v>F11|G10|H9|I8|J7|K6|L5</v>
      </c>
      <c r="AJ33" t="str">
        <v>F2|G3|H4|I5|J6|K7|L8</v>
      </c>
    </row>
    <row r="34" spans="2:36">
      <c r="D34">
        <v>11</v>
      </c>
      <c r="E34">
        <v>7</v>
      </c>
      <c r="G34" t="str">
        <v>105|95|85|75|65|55</v>
      </c>
      <c r="H34" t="str">
        <v>G11|H10|I9|J8|K7|L6</v>
      </c>
      <c r="I34" t="str">
        <v>D</v>
      </c>
      <c r="K34">
        <v>2</v>
      </c>
      <c r="L34">
        <v>7</v>
      </c>
      <c r="N34" t="str">
        <v>6|18|30|42|54|66</v>
      </c>
      <c r="O34" t="str">
        <v>G2|H3|I4|J5|K6|L7</v>
      </c>
      <c r="P34" t="str">
        <v>U</v>
      </c>
      <c r="R34" t="str">
        <v>G11|H10|I9|J8|K7|L6</v>
      </c>
      <c r="W34" t="str">
        <v>L4</v>
      </c>
      <c r="X34">
        <v>33</v>
      </c>
      <c r="AD34" t="str">
        <v>G11|H10|I9|J8|K7|L6</v>
      </c>
      <c r="AJ34" t="str">
        <v>G2|H3|I4|J5|K6|L7</v>
      </c>
    </row>
    <row r="35" spans="2:36">
      <c r="D35">
        <v>11</v>
      </c>
      <c r="E35">
        <v>8</v>
      </c>
      <c r="G35" t="str">
        <v>106|96|86|76|66</v>
      </c>
      <c r="H35" t="str">
        <v>H11|I10|J9|K8|L7</v>
      </c>
      <c r="I35" t="str">
        <v>D</v>
      </c>
      <c r="K35">
        <v>2</v>
      </c>
      <c r="L35">
        <v>8</v>
      </c>
      <c r="N35" t="str">
        <v>7|19|31|43|55</v>
      </c>
      <c r="O35" t="str">
        <v>H2|I3|J4|K5|L6</v>
      </c>
      <c r="P35" t="str">
        <v>U</v>
      </c>
      <c r="R35" t="str">
        <v>H11|I10|J9|K8|L7</v>
      </c>
      <c r="W35" t="str">
        <v>B5</v>
      </c>
      <c r="X35">
        <v>34</v>
      </c>
      <c r="AD35" t="str">
        <v>H11|I10|J9|K8|L7</v>
      </c>
      <c r="AJ35" t="str">
        <v>H2|I3|J4|K5|L6</v>
      </c>
    </row>
    <row r="36" spans="2:36">
      <c r="D36">
        <v>11</v>
      </c>
      <c r="E36">
        <v>9</v>
      </c>
      <c r="G36" t="str">
        <v>107|97|87|77</v>
      </c>
      <c r="H36" t="str">
        <v>I11|J10|K9|L8</v>
      </c>
      <c r="I36" t="str">
        <v>D</v>
      </c>
      <c r="K36">
        <v>2</v>
      </c>
      <c r="L36">
        <v>9</v>
      </c>
      <c r="N36" t="str">
        <v>8|20|32|44</v>
      </c>
      <c r="O36" t="str">
        <v>I2|J3|K4|L5</v>
      </c>
      <c r="P36" t="str">
        <v>U</v>
      </c>
      <c r="R36" t="str">
        <v>I11|J10|K9|L8</v>
      </c>
      <c r="W36" t="str">
        <v>C5</v>
      </c>
      <c r="X36">
        <v>35</v>
      </c>
      <c r="AD36" t="str">
        <v>I11|J10|K9|L8</v>
      </c>
      <c r="AJ36" t="str">
        <v>I2|J3|K4|L5</v>
      </c>
    </row>
    <row r="37" spans="2:36">
      <c r="D37">
        <v>11</v>
      </c>
      <c r="E37">
        <v>10</v>
      </c>
      <c r="G37" t="str">
        <v>108|98|88</v>
      </c>
      <c r="H37" t="str">
        <v>J11|K10|L9</v>
      </c>
      <c r="I37" t="str">
        <v>D</v>
      </c>
      <c r="K37">
        <v>2</v>
      </c>
      <c r="L37">
        <v>10</v>
      </c>
      <c r="N37" t="str">
        <v>9|21|33</v>
      </c>
      <c r="O37" t="str">
        <v>J2|K3|L4</v>
      </c>
      <c r="P37" t="str">
        <v>U</v>
      </c>
      <c r="R37" t="str">
        <v>J11|K10|L9</v>
      </c>
      <c r="W37" t="str">
        <v>D5</v>
      </c>
      <c r="X37">
        <v>36</v>
      </c>
      <c r="AD37" t="str">
        <v>J11|K10|L9</v>
      </c>
      <c r="AJ37" t="str">
        <v>J2|K3|L4</v>
      </c>
    </row>
    <row r="38" spans="2:36">
      <c r="D38">
        <v>11</v>
      </c>
      <c r="E38">
        <v>11</v>
      </c>
      <c r="G38" t="str">
        <v>109|99</v>
      </c>
      <c r="H38" t="str">
        <v>K11|L10</v>
      </c>
      <c r="I38" t="str">
        <v>D</v>
      </c>
      <c r="K38">
        <v>2</v>
      </c>
      <c r="L38">
        <v>11</v>
      </c>
      <c r="N38" t="str">
        <v>10|22</v>
      </c>
      <c r="O38" t="str">
        <v>K2|L3</v>
      </c>
      <c r="P38" t="str">
        <v>U</v>
      </c>
      <c r="R38" t="str">
        <v>K11|L10</v>
      </c>
      <c r="W38" t="str">
        <v>E5</v>
      </c>
      <c r="X38">
        <v>37</v>
      </c>
      <c r="AD38" t="str">
        <v>K11|L10</v>
      </c>
      <c r="AJ38" t="str">
        <v>K2|L3</v>
      </c>
    </row>
    <row r="39" spans="2:36">
      <c r="D39">
        <v>11</v>
      </c>
      <c r="E39">
        <v>12</v>
      </c>
      <c r="G39" t="str">
        <v>110</v>
      </c>
      <c r="H39" t="str">
        <v>L11</v>
      </c>
      <c r="I39" t="str">
        <v>D</v>
      </c>
      <c r="K39">
        <v>2</v>
      </c>
      <c r="L39">
        <v>12</v>
      </c>
      <c r="N39" t="str">
        <v>11</v>
      </c>
      <c r="O39" t="str">
        <v>L2</v>
      </c>
      <c r="P39" t="str">
        <v>U</v>
      </c>
      <c r="R39" t="str">
        <v>L11</v>
      </c>
      <c r="W39" t="str">
        <v>F5</v>
      </c>
      <c r="X39">
        <v>38</v>
      </c>
      <c r="AD39" t="str">
        <v>L11</v>
      </c>
      <c r="AJ39" t="str">
        <v>L2</v>
      </c>
    </row>
    <row r="40" spans="2:36">
      <c r="B40" t="s">
        <v>227</v>
      </c>
      <c r="C40" s="2">
        <v>0</v>
      </c>
      <c r="D40">
        <f>IF(_xlfn.ISOMITTED(C40),1,C40)</f>
        <v>0</v>
      </c>
      <c r="W40" t="str">
        <v>G5</v>
      </c>
      <c r="X40">
        <v>39</v>
      </c>
    </row>
    <row r="41" spans="2:36">
      <c r="B41" t="s">
        <v>226</v>
      </c>
      <c r="C41" s="2">
        <v>1</v>
      </c>
      <c r="D41">
        <f>IF(_xlfn.ISOMITTED(C41),0,C41)</f>
        <v>1</v>
      </c>
      <c r="W41" t="str">
        <v>H5</v>
      </c>
      <c r="X41">
        <v>40</v>
      </c>
    </row>
    <row r="42" spans="2:36">
      <c r="B42" t="s">
        <v>225</v>
      </c>
      <c r="C42" s="2">
        <v>0</v>
      </c>
      <c r="D42">
        <f>IF(_xlfn.ISOMITTED(C42),0,C42)</f>
        <v>0</v>
      </c>
      <c r="W42" t="str">
        <v>I5</v>
      </c>
      <c r="X42">
        <v>41</v>
      </c>
    </row>
    <row r="43" spans="2:36">
      <c r="W43" t="str">
        <v>J5</v>
      </c>
      <c r="X43">
        <v>42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K5</v>
      </c>
      <c r="X44">
        <v>43</v>
      </c>
    </row>
    <row r="45" spans="2:36">
      <c r="C45" t="str" cm="1">
        <f t="array" ref="C45:C84">_xlfn.VSTACK(_xlfn.ANCHORARRAY(H20),_xlfn.ANCHORARRAY(O20))</f>
        <v>B2</v>
      </c>
      <c r="D45" t="str" cm="1">
        <f t="array" ref="D45:D84">_xlfn.VSTACK(_xlfn.ANCHORARRAY(G20),_xlfn.ANCHORARRAY(N20))</f>
        <v>1</v>
      </c>
      <c r="E45" t="str" cm="1">
        <f t="array" ref="E45:E84">_xlfn.VSTACK(_xlfn.ANCHORARRAY(I20),_xlfn.ANCHORARRAY(P20))</f>
        <v>D</v>
      </c>
      <c r="I45" t="str" cm="1">
        <f t="array" ref="I45:I84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1</v>
      </c>
      <c r="N45" t="str" cm="1">
        <f t="array" ref="N45:N84">Lz_Diagonals(_xlfn.ANCHORARRAY(B2), C40, C41, C42)</f>
        <v>1</v>
      </c>
      <c r="W45" t="str">
        <v>L5</v>
      </c>
      <c r="X45">
        <v>44</v>
      </c>
    </row>
    <row r="46" spans="2:36">
      <c r="C46" t="str">
        <v>B3|C2</v>
      </c>
      <c r="D46" t="str">
        <v>12|2</v>
      </c>
      <c r="E46" t="str">
        <v>D</v>
      </c>
      <c r="I46" t="str">
        <v>12|2</v>
      </c>
      <c r="N46" t="str">
        <v>12|2</v>
      </c>
      <c r="W46" t="str">
        <v>B6</v>
      </c>
      <c r="X46">
        <v>45</v>
      </c>
    </row>
    <row r="47" spans="2:36">
      <c r="C47" t="str">
        <v>B4|C3|D2</v>
      </c>
      <c r="D47" t="str">
        <v>23|13|3</v>
      </c>
      <c r="E47" t="str">
        <v>D</v>
      </c>
      <c r="I47" t="str">
        <v>23|13|3</v>
      </c>
      <c r="N47" t="str">
        <v>23|13|3</v>
      </c>
      <c r="W47" t="str">
        <v>C6</v>
      </c>
      <c r="X47">
        <v>46</v>
      </c>
    </row>
    <row r="48" spans="2:36">
      <c r="C48" t="str">
        <v>B5|C4|D3|E2</v>
      </c>
      <c r="D48" t="str">
        <v>34|24|14|4</v>
      </c>
      <c r="E48" t="str">
        <v>D</v>
      </c>
      <c r="I48" t="str">
        <v>34|24|14|4</v>
      </c>
      <c r="N48" t="str">
        <v>34|24|14|4</v>
      </c>
      <c r="W48" t="str">
        <v>D6</v>
      </c>
      <c r="X48">
        <v>47</v>
      </c>
    </row>
    <row r="49" spans="3:24">
      <c r="C49" t="str">
        <v>B6|C5|D4|E3|F2</v>
      </c>
      <c r="D49" t="str">
        <v>45|35|25|15|5</v>
      </c>
      <c r="E49" t="str">
        <v>D</v>
      </c>
      <c r="I49" t="str">
        <v>45|35|25|15|5</v>
      </c>
      <c r="N49" t="str">
        <v>45|35|25|15|5</v>
      </c>
      <c r="W49" t="str">
        <v>E6</v>
      </c>
      <c r="X49">
        <v>48</v>
      </c>
    </row>
    <row r="50" spans="3:24">
      <c r="C50" t="str">
        <v>B7|C6|D5|E4|F3|G2</v>
      </c>
      <c r="D50" t="str">
        <v>56|46|36|26|16|6</v>
      </c>
      <c r="E50" t="str">
        <v>D</v>
      </c>
      <c r="I50" t="str">
        <v>56|46|36|26|16|6</v>
      </c>
      <c r="N50" t="str">
        <v>56|46|36|26|16|6</v>
      </c>
      <c r="W50" t="str">
        <v>F6</v>
      </c>
      <c r="X50">
        <v>49</v>
      </c>
    </row>
    <row r="51" spans="3:24">
      <c r="C51" t="str">
        <v>B8|C7|D6|E5|F4|G3|H2</v>
      </c>
      <c r="D51" t="str">
        <v>67|57|47|37|27|17|7</v>
      </c>
      <c r="E51" t="str">
        <v>D</v>
      </c>
      <c r="I51" t="str">
        <v>67|57|47|37|27|17|7</v>
      </c>
      <c r="N51" t="str">
        <v>67|57|47|37|27|17|7</v>
      </c>
      <c r="W51" t="str">
        <v>G6</v>
      </c>
      <c r="X51">
        <v>50</v>
      </c>
    </row>
    <row r="52" spans="3:24">
      <c r="C52" t="str">
        <v>B9|C8|D7|E6|F5|G4|H3|I2</v>
      </c>
      <c r="D52" t="str">
        <v>78|68|58|48|38|28|18|8</v>
      </c>
      <c r="E52" t="str">
        <v>D</v>
      </c>
      <c r="I52" t="str">
        <v>78|68|58|48|38|28|18|8</v>
      </c>
      <c r="N52" t="str">
        <v>78|68|58|48|38|28|18|8</v>
      </c>
      <c r="W52" t="str">
        <v>H6</v>
      </c>
      <c r="X52">
        <v>51</v>
      </c>
    </row>
    <row r="53" spans="3:24">
      <c r="C53" t="str">
        <v>B10|C9|D8|E7|F6|G5|H4|I3|J2</v>
      </c>
      <c r="D53" t="str">
        <v>89|79|69|59|49|39|29|19|9</v>
      </c>
      <c r="E53" t="str">
        <v>D</v>
      </c>
      <c r="I53" t="str">
        <v>89|79|69|59|49|39|29|19|9</v>
      </c>
      <c r="N53" t="str">
        <v>89|79|69|59|49|39|29|19|9</v>
      </c>
      <c r="W53" t="str">
        <v>I6</v>
      </c>
      <c r="X53">
        <v>52</v>
      </c>
    </row>
    <row r="54" spans="3:24">
      <c r="C54" t="str">
        <v>B11|C10|D9|E8|F7|G6|H5|I4|J3|K2</v>
      </c>
      <c r="D54" t="str">
        <v>100|90|80|70|60|50|40|30|20|10</v>
      </c>
      <c r="E54" t="str">
        <v>D</v>
      </c>
      <c r="I54" t="str">
        <v>100|90|80|70|60|50|40|30|20|10</v>
      </c>
      <c r="N54" t="str">
        <v>100|90|80|70|60|50|40|30|20|10</v>
      </c>
      <c r="W54" t="str">
        <v>J6</v>
      </c>
      <c r="X54">
        <v>53</v>
      </c>
    </row>
    <row r="55" spans="3:24">
      <c r="C55" t="str">
        <v>C11|D10|E9|F8|G7|H6|I5|J4|K3|L2</v>
      </c>
      <c r="D55" t="str">
        <v>101|91|81|71|61|51|41|31|21|11</v>
      </c>
      <c r="E55" t="str">
        <v>D</v>
      </c>
      <c r="I55" t="str">
        <v>101|91|81|71|61|51|41|31|21|11</v>
      </c>
      <c r="N55" t="str">
        <v>101|91|81|71|61|51|41|31|21|11</v>
      </c>
      <c r="W55" t="str">
        <v>K6</v>
      </c>
      <c r="X55">
        <v>54</v>
      </c>
    </row>
    <row r="56" spans="3:24">
      <c r="C56" t="str">
        <v>D11|E10|F9|G8|H7|I6|J5|K4|L3</v>
      </c>
      <c r="D56" t="str">
        <v>102|92|82|72|62|52|42|32|22</v>
      </c>
      <c r="E56" t="str">
        <v>D</v>
      </c>
      <c r="I56" t="str">
        <v>102|92|82|72|62|52|42|32|22</v>
      </c>
      <c r="N56" t="str">
        <v>102|92|82|72|62|52|42|32|22</v>
      </c>
      <c r="W56" t="str">
        <v>L6</v>
      </c>
      <c r="X56">
        <v>55</v>
      </c>
    </row>
    <row r="57" spans="3:24">
      <c r="C57" t="str">
        <v>E11|F10|G9|H8|I7|J6|K5|L4</v>
      </c>
      <c r="D57" t="str">
        <v>103|93|83|73|63|53|43|33</v>
      </c>
      <c r="E57" t="str">
        <v>D</v>
      </c>
      <c r="I57" t="str">
        <v>103|93|83|73|63|53|43|33</v>
      </c>
      <c r="N57" t="str">
        <v>103|93|83|73|63|53|43|33</v>
      </c>
      <c r="W57" t="str">
        <v>B7</v>
      </c>
      <c r="X57">
        <v>56</v>
      </c>
    </row>
    <row r="58" spans="3:24">
      <c r="C58" t="str">
        <v>F11|G10|H9|I8|J7|K6|L5</v>
      </c>
      <c r="D58" t="str">
        <v>104|94|84|74|64|54|44</v>
      </c>
      <c r="E58" t="str">
        <v>D</v>
      </c>
      <c r="I58" t="str">
        <v>104|94|84|74|64|54|44</v>
      </c>
      <c r="N58" t="str">
        <v>104|94|84|74|64|54|44</v>
      </c>
      <c r="W58" t="str">
        <v>C7</v>
      </c>
      <c r="X58">
        <v>57</v>
      </c>
    </row>
    <row r="59" spans="3:24">
      <c r="C59" t="str">
        <v>G11|H10|I9|J8|K7|L6</v>
      </c>
      <c r="D59" t="str">
        <v>105|95|85|75|65|55</v>
      </c>
      <c r="E59" t="str">
        <v>D</v>
      </c>
      <c r="I59" t="str">
        <v>105|95|85|75|65|55</v>
      </c>
      <c r="N59" t="str">
        <v>105|95|85|75|65|55</v>
      </c>
      <c r="W59" t="str">
        <v>D7</v>
      </c>
      <c r="X59">
        <v>58</v>
      </c>
    </row>
    <row r="60" spans="3:24">
      <c r="C60" t="str">
        <v>H11|I10|J9|K8|L7</v>
      </c>
      <c r="D60" t="str">
        <v>106|96|86|76|66</v>
      </c>
      <c r="E60" t="str">
        <v>D</v>
      </c>
      <c r="I60" t="str">
        <v>106|96|86|76|66</v>
      </c>
      <c r="N60" t="str">
        <v>106|96|86|76|66</v>
      </c>
      <c r="W60" t="str">
        <v>E7</v>
      </c>
      <c r="X60">
        <v>59</v>
      </c>
    </row>
    <row r="61" spans="3:24">
      <c r="C61" t="str">
        <v>I11|J10|K9|L8</v>
      </c>
      <c r="D61" t="str">
        <v>107|97|87|77</v>
      </c>
      <c r="E61" t="str">
        <v>D</v>
      </c>
      <c r="I61" t="str">
        <v>107|97|87|77</v>
      </c>
      <c r="N61" t="str">
        <v>107|97|87|77</v>
      </c>
      <c r="W61" t="str">
        <v>F7</v>
      </c>
      <c r="X61">
        <v>60</v>
      </c>
    </row>
    <row r="62" spans="3:24">
      <c r="C62" t="str">
        <v>J11|K10|L9</v>
      </c>
      <c r="D62" t="str">
        <v>108|98|88</v>
      </c>
      <c r="E62" t="str">
        <v>D</v>
      </c>
      <c r="I62" t="str">
        <v>108|98|88</v>
      </c>
      <c r="N62" t="str">
        <v>108|98|88</v>
      </c>
      <c r="W62" t="str">
        <v>G7</v>
      </c>
      <c r="X62">
        <v>61</v>
      </c>
    </row>
    <row r="63" spans="3:24">
      <c r="C63" t="str">
        <v>K11|L10</v>
      </c>
      <c r="D63" t="str">
        <v>109|99</v>
      </c>
      <c r="E63" t="str">
        <v>D</v>
      </c>
      <c r="I63" t="str">
        <v>109|99</v>
      </c>
      <c r="N63" t="str">
        <v>109|99</v>
      </c>
      <c r="W63" t="str">
        <v>H7</v>
      </c>
      <c r="X63">
        <v>62</v>
      </c>
    </row>
    <row r="64" spans="3:24">
      <c r="C64" t="str">
        <v>L11</v>
      </c>
      <c r="D64" t="str">
        <v>110</v>
      </c>
      <c r="E64" t="str">
        <v>D</v>
      </c>
      <c r="I64" t="str">
        <v>110</v>
      </c>
      <c r="N64" t="str">
        <v>110</v>
      </c>
      <c r="W64" t="str">
        <v>I7</v>
      </c>
      <c r="X64">
        <v>63</v>
      </c>
    </row>
    <row r="65" spans="3:24">
      <c r="C65" t="str">
        <v>B11</v>
      </c>
      <c r="D65" t="str">
        <v>100</v>
      </c>
      <c r="E65" t="str">
        <v>U</v>
      </c>
      <c r="I65" t="str">
        <v>100</v>
      </c>
      <c r="N65" t="str">
        <v>100</v>
      </c>
      <c r="W65" t="str">
        <v>J7</v>
      </c>
      <c r="X65">
        <v>64</v>
      </c>
    </row>
    <row r="66" spans="3:24">
      <c r="C66" t="str">
        <v>B10|C11</v>
      </c>
      <c r="D66" t="str">
        <v>89|101</v>
      </c>
      <c r="E66" t="str">
        <v>U</v>
      </c>
      <c r="I66" t="str">
        <v>89|101</v>
      </c>
      <c r="N66" t="str">
        <v>89|101</v>
      </c>
      <c r="W66" t="str">
        <v>K7</v>
      </c>
      <c r="X66">
        <v>65</v>
      </c>
    </row>
    <row r="67" spans="3:24">
      <c r="C67" t="str">
        <v>B9|C10|D11</v>
      </c>
      <c r="D67" t="str">
        <v>78|90|102</v>
      </c>
      <c r="E67" t="str">
        <v>U</v>
      </c>
      <c r="I67" t="str">
        <v>78|90|102</v>
      </c>
      <c r="N67" t="str">
        <v>78|90|102</v>
      </c>
      <c r="W67" t="str">
        <v>L7</v>
      </c>
      <c r="X67">
        <v>66</v>
      </c>
    </row>
    <row r="68" spans="3:24">
      <c r="C68" t="str">
        <v>B8|C9|D10|E11</v>
      </c>
      <c r="D68" t="str">
        <v>67|79|91|103</v>
      </c>
      <c r="E68" t="str">
        <v>U</v>
      </c>
      <c r="I68" t="str">
        <v>67|79|91|103</v>
      </c>
      <c r="N68" t="str">
        <v>67|79|91|103</v>
      </c>
      <c r="W68" t="str">
        <v>B8</v>
      </c>
      <c r="X68">
        <v>67</v>
      </c>
    </row>
    <row r="69" spans="3:24">
      <c r="C69" t="str">
        <v>B7|C8|D9|E10|F11</v>
      </c>
      <c r="D69" t="str">
        <v>56|68|80|92|104</v>
      </c>
      <c r="E69" t="str">
        <v>U</v>
      </c>
      <c r="I69" t="str">
        <v>56|68|80|92|104</v>
      </c>
      <c r="N69" t="str">
        <v>56|68|80|92|104</v>
      </c>
      <c r="W69" t="str">
        <v>C8</v>
      </c>
      <c r="X69">
        <v>68</v>
      </c>
    </row>
    <row r="70" spans="3:24">
      <c r="C70" t="str">
        <v>B6|C7|D8|E9|F10|G11</v>
      </c>
      <c r="D70" t="str">
        <v>45|57|69|81|93|105</v>
      </c>
      <c r="E70" t="str">
        <v>U</v>
      </c>
      <c r="I70" t="str">
        <v>45|57|69|81|93|105</v>
      </c>
      <c r="N70" t="str">
        <v>45|57|69|81|93|105</v>
      </c>
      <c r="W70" t="str">
        <v>D8</v>
      </c>
      <c r="X70">
        <v>69</v>
      </c>
    </row>
    <row r="71" spans="3:24">
      <c r="C71" t="str">
        <v>B5|C6|D7|E8|F9|G10|H11</v>
      </c>
      <c r="D71" t="str">
        <v>34|46|58|70|82|94|106</v>
      </c>
      <c r="E71" t="str">
        <v>U</v>
      </c>
      <c r="I71" t="str">
        <v>34|46|58|70|82|94|106</v>
      </c>
      <c r="N71" t="str">
        <v>34|46|58|70|82|94|106</v>
      </c>
      <c r="W71" t="str">
        <v>E8</v>
      </c>
      <c r="X71">
        <v>70</v>
      </c>
    </row>
    <row r="72" spans="3:24">
      <c r="C72" t="str">
        <v>B4|C5|D6|E7|F8|G9|H10|I11</v>
      </c>
      <c r="D72" t="str">
        <v>23|35|47|59|71|83|95|107</v>
      </c>
      <c r="E72" t="str">
        <v>U</v>
      </c>
      <c r="I72" t="str">
        <v>23|35|47|59|71|83|95|107</v>
      </c>
      <c r="N72" t="str">
        <v>23|35|47|59|71|83|95|107</v>
      </c>
      <c r="W72" t="str">
        <v>F8</v>
      </c>
      <c r="X72">
        <v>71</v>
      </c>
    </row>
    <row r="73" spans="3:24">
      <c r="C73" t="str">
        <v>B3|C4|D5|E6|F7|G8|H9|I10|J11</v>
      </c>
      <c r="D73" t="str">
        <v>12|24|36|48|60|72|84|96|108</v>
      </c>
      <c r="E73" t="str">
        <v>U</v>
      </c>
      <c r="I73" t="str">
        <v>12|24|36|48|60|72|84|96|108</v>
      </c>
      <c r="N73" t="str">
        <v>12|24|36|48|60|72|84|96|108</v>
      </c>
      <c r="W73" t="str">
        <v>G8</v>
      </c>
      <c r="X73">
        <v>72</v>
      </c>
    </row>
    <row r="74" spans="3:24">
      <c r="C74" t="str">
        <v>B2|C3|D4|E5|F6|G7|H8|I9|J10|K11</v>
      </c>
      <c r="D74" t="str">
        <v>1|13|25|37|49|61|73|85|97|109</v>
      </c>
      <c r="E74" t="str">
        <v>U</v>
      </c>
      <c r="I74" t="str">
        <v>1|13|25|37|49|61|73|85|97|109</v>
      </c>
      <c r="N74" t="str">
        <v>1|13|25|37|49|61|73|85|97|109</v>
      </c>
      <c r="W74" t="str">
        <v>H8</v>
      </c>
      <c r="X74">
        <v>73</v>
      </c>
    </row>
    <row r="75" spans="3:24">
      <c r="C75" t="str">
        <v>C2|D3|E4|F5|G6|H7|I8|J9|K10|L11</v>
      </c>
      <c r="D75" t="str">
        <v>2|14|26|38|50|62|74|86|98|110</v>
      </c>
      <c r="E75" t="str">
        <v>U</v>
      </c>
      <c r="I75" t="str">
        <v>2|14|26|38|50|62|74|86|98|110</v>
      </c>
      <c r="N75" t="str">
        <v>1|13|25|37|49|61|73|85|97|109</v>
      </c>
      <c r="W75" t="str">
        <v>I8</v>
      </c>
      <c r="X75">
        <v>74</v>
      </c>
    </row>
    <row r="76" spans="3:24">
      <c r="C76" t="str">
        <v>D2|E3|F4|G5|H6|I7|J8|K9|L10</v>
      </c>
      <c r="D76" t="str">
        <v>3|15|27|39|51|63|75|87|99</v>
      </c>
      <c r="E76" t="str">
        <v>U</v>
      </c>
      <c r="I76" t="str">
        <v>3|15|27|39|51|63|75|87|99</v>
      </c>
      <c r="N76" t="str">
        <v>2|14|26|38|50|62|74|86|98|110</v>
      </c>
      <c r="W76" t="str">
        <v>J8</v>
      </c>
      <c r="X76">
        <v>75</v>
      </c>
    </row>
    <row r="77" spans="3:24">
      <c r="C77" t="str">
        <v>E2|F3|G4|H5|I6|J7|K8|L9</v>
      </c>
      <c r="D77" t="str">
        <v>4|16|28|40|52|64|76|88</v>
      </c>
      <c r="E77" t="str">
        <v>U</v>
      </c>
      <c r="I77" t="str">
        <v>4|16|28|40|52|64|76|88</v>
      </c>
      <c r="N77" t="str">
        <v>3|15|27|39|51|63|75|87|99</v>
      </c>
      <c r="W77" t="str">
        <v>K8</v>
      </c>
      <c r="X77">
        <v>76</v>
      </c>
    </row>
    <row r="78" spans="3:24">
      <c r="C78" t="str">
        <v>F2|G3|H4|I5|J6|K7|L8</v>
      </c>
      <c r="D78" t="str">
        <v>5|17|29|41|53|65|77</v>
      </c>
      <c r="E78" t="str">
        <v>U</v>
      </c>
      <c r="I78" t="str">
        <v>5|17|29|41|53|65|77</v>
      </c>
      <c r="N78" t="str">
        <v>4|16|28|40|52|64|76|88</v>
      </c>
      <c r="W78" t="str">
        <v>L8</v>
      </c>
      <c r="X78">
        <v>77</v>
      </c>
    </row>
    <row r="79" spans="3:24">
      <c r="C79" t="str">
        <v>G2|H3|I4|J5|K6|L7</v>
      </c>
      <c r="D79" t="str">
        <v>6|18|30|42|54|66</v>
      </c>
      <c r="E79" t="str">
        <v>U</v>
      </c>
      <c r="I79" t="str">
        <v>6|18|30|42|54|66</v>
      </c>
      <c r="N79" t="str">
        <v>5|17|29|41|53|65|77</v>
      </c>
      <c r="W79" t="str">
        <v>B9</v>
      </c>
      <c r="X79">
        <v>78</v>
      </c>
    </row>
    <row r="80" spans="3:24">
      <c r="C80" t="str">
        <v>H2|I3|J4|K5|L6</v>
      </c>
      <c r="D80" t="str">
        <v>7|19|31|43|55</v>
      </c>
      <c r="E80" t="str">
        <v>U</v>
      </c>
      <c r="I80" t="str">
        <v>7|19|31|43|55</v>
      </c>
      <c r="N80" t="str">
        <v>6|18|30|42|54|66</v>
      </c>
      <c r="W80" t="str">
        <v>C9</v>
      </c>
      <c r="X80">
        <v>79</v>
      </c>
    </row>
    <row r="81" spans="3:24">
      <c r="C81" t="str">
        <v>I2|J3|K4|L5</v>
      </c>
      <c r="D81" t="str">
        <v>8|20|32|44</v>
      </c>
      <c r="E81" t="str">
        <v>U</v>
      </c>
      <c r="I81" t="str">
        <v>8|20|32|44</v>
      </c>
      <c r="N81" t="str">
        <v>7|19|31|43|55</v>
      </c>
      <c r="W81" t="str">
        <v>D9</v>
      </c>
      <c r="X81">
        <v>80</v>
      </c>
    </row>
    <row r="82" spans="3:24">
      <c r="C82" t="str">
        <v>J2|K3|L4</v>
      </c>
      <c r="D82" t="str">
        <v>9|21|33</v>
      </c>
      <c r="E82" t="str">
        <v>U</v>
      </c>
      <c r="I82" t="str">
        <v>9|21|33</v>
      </c>
      <c r="N82" t="str">
        <v>8|20|32|44</v>
      </c>
      <c r="W82" t="str">
        <v>E9</v>
      </c>
      <c r="X82">
        <v>81</v>
      </c>
    </row>
    <row r="83" spans="3:24">
      <c r="C83" t="str">
        <v>K2|L3</v>
      </c>
      <c r="D83" t="str">
        <v>10|22</v>
      </c>
      <c r="E83" t="str">
        <v>U</v>
      </c>
      <c r="I83" t="str">
        <v>10|22</v>
      </c>
      <c r="N83" t="str">
        <v>9|21|33</v>
      </c>
      <c r="W83" t="str">
        <v>F9</v>
      </c>
      <c r="X83">
        <v>82</v>
      </c>
    </row>
    <row r="84" spans="3:24">
      <c r="C84" t="str">
        <v>L2</v>
      </c>
      <c r="D84" t="str">
        <v>11</v>
      </c>
      <c r="E84" t="str">
        <v>U</v>
      </c>
      <c r="I84" t="str">
        <v>11</v>
      </c>
      <c r="N84" t="str">
        <v>10|22</v>
      </c>
      <c r="W84" t="str">
        <v>G9</v>
      </c>
      <c r="X84">
        <v>83</v>
      </c>
    </row>
    <row r="85" spans="3:24">
      <c r="W85" t="str">
        <v>H9</v>
      </c>
      <c r="X85">
        <v>84</v>
      </c>
    </row>
    <row r="86" spans="3:24">
      <c r="W86" t="str">
        <v>I9</v>
      </c>
      <c r="X86">
        <v>85</v>
      </c>
    </row>
    <row r="87" spans="3:24">
      <c r="W87" t="str">
        <v>J9</v>
      </c>
      <c r="X87">
        <v>86</v>
      </c>
    </row>
    <row r="88" spans="3:24">
      <c r="W88" t="str">
        <v>K9</v>
      </c>
      <c r="X88">
        <v>87</v>
      </c>
    </row>
    <row r="89" spans="3:24">
      <c r="W89" t="str">
        <v>L9</v>
      </c>
      <c r="X89">
        <v>88</v>
      </c>
    </row>
    <row r="90" spans="3:24">
      <c r="W90" t="str">
        <v>B10</v>
      </c>
      <c r="X90">
        <v>89</v>
      </c>
    </row>
    <row r="91" spans="3:24">
      <c r="W91" t="str">
        <v>C10</v>
      </c>
      <c r="X91">
        <v>90</v>
      </c>
    </row>
    <row r="92" spans="3:24">
      <c r="W92" t="str">
        <v>D10</v>
      </c>
      <c r="X92">
        <v>91</v>
      </c>
    </row>
    <row r="93" spans="3:24">
      <c r="W93" t="str">
        <v>E10</v>
      </c>
      <c r="X93">
        <v>92</v>
      </c>
    </row>
    <row r="94" spans="3:24">
      <c r="W94" t="str">
        <v>F10</v>
      </c>
      <c r="X94">
        <v>93</v>
      </c>
    </row>
    <row r="95" spans="3:24">
      <c r="W95" t="str">
        <v>G10</v>
      </c>
      <c r="X95">
        <v>94</v>
      </c>
    </row>
    <row r="96" spans="3:24">
      <c r="W96" t="str">
        <v>H10</v>
      </c>
      <c r="X96">
        <v>95</v>
      </c>
    </row>
    <row r="97" spans="23:24">
      <c r="W97" t="str">
        <v>I10</v>
      </c>
      <c r="X97">
        <v>96</v>
      </c>
    </row>
    <row r="98" spans="23:24">
      <c r="W98" t="str">
        <v>J10</v>
      </c>
      <c r="X98">
        <v>97</v>
      </c>
    </row>
    <row r="99" spans="23:24">
      <c r="W99" t="str">
        <v>K10</v>
      </c>
      <c r="X99">
        <v>98</v>
      </c>
    </row>
    <row r="100" spans="23:24">
      <c r="W100" t="str">
        <v>L10</v>
      </c>
      <c r="X100">
        <v>99</v>
      </c>
    </row>
    <row r="101" spans="23:24">
      <c r="W101" t="str">
        <v>B11</v>
      </c>
      <c r="X101">
        <v>100</v>
      </c>
    </row>
    <row r="102" spans="23:24">
      <c r="W102" t="str">
        <v>C11</v>
      </c>
      <c r="X102">
        <v>101</v>
      </c>
    </row>
    <row r="103" spans="23:24">
      <c r="W103" t="str">
        <v>D11</v>
      </c>
      <c r="X103">
        <v>102</v>
      </c>
    </row>
    <row r="104" spans="23:24">
      <c r="W104" t="str">
        <v>E11</v>
      </c>
      <c r="X104">
        <v>103</v>
      </c>
    </row>
    <row r="105" spans="23:24">
      <c r="W105" t="str">
        <v>F11</v>
      </c>
      <c r="X105">
        <v>104</v>
      </c>
    </row>
    <row r="106" spans="23:24">
      <c r="W106" t="str">
        <v>G11</v>
      </c>
      <c r="X106">
        <v>105</v>
      </c>
    </row>
    <row r="107" spans="23:24">
      <c r="W107" t="str">
        <v>H11</v>
      </c>
      <c r="X107">
        <v>106</v>
      </c>
    </row>
    <row r="108" spans="23:24">
      <c r="W108" t="str">
        <v>I11</v>
      </c>
      <c r="X108">
        <v>107</v>
      </c>
    </row>
    <row r="109" spans="23:24">
      <c r="W109" t="str">
        <v>J11</v>
      </c>
      <c r="X109">
        <v>108</v>
      </c>
    </row>
    <row r="110" spans="23:24">
      <c r="W110" t="str">
        <v>K11</v>
      </c>
      <c r="X110">
        <v>109</v>
      </c>
    </row>
    <row r="111" spans="23:24">
      <c r="W111" t="str">
        <v>L11</v>
      </c>
      <c r="X111">
        <v>110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sheetPr codeName="Sheet5"/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233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25" t="s">
        <v>234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233</v>
      </c>
      <c r="G4" s="8" t="s">
        <v>235</v>
      </c>
      <c r="H4" s="6"/>
      <c r="I4" s="6"/>
      <c r="J4" s="6"/>
      <c r="K4" s="6"/>
      <c r="L4" s="6"/>
      <c r="M4" s="6"/>
      <c r="N4" s="6" t="s">
        <v>236</v>
      </c>
      <c r="O4" s="6"/>
      <c r="P4" s="6"/>
      <c r="Q4" s="7" t="s">
        <v>237</v>
      </c>
      <c r="R4" s="8" t="s">
        <v>238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239</v>
      </c>
      <c r="AS5" s="4" t="s">
        <v>233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240</v>
      </c>
      <c r="AT6" s="4" t="s">
        <v>207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241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242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243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235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238</v>
      </c>
      <c r="T9" s="10"/>
      <c r="U9" s="10"/>
      <c r="V9" s="10"/>
      <c r="W9" s="6"/>
      <c r="AB9" s="4" t="s">
        <v>209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210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211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212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244</v>
      </c>
      <c r="CS13" s="4" t="s">
        <v>227</v>
      </c>
      <c r="CT13" s="4" t="s">
        <v>245</v>
      </c>
      <c r="CU13" s="4" t="s">
        <v>226</v>
      </c>
      <c r="CV13" s="4" t="s">
        <v>246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247</v>
      </c>
      <c r="CS14" s="12"/>
      <c r="CT14" s="12"/>
      <c r="CU14" s="12"/>
      <c r="CV14" s="12"/>
    </row>
    <row r="15" spans="2:117" ht="67.5" customHeight="1">
      <c r="B15" s="6"/>
      <c r="C15" s="24" t="s">
        <v>248</v>
      </c>
      <c r="D15" s="24"/>
      <c r="E15" s="24"/>
      <c r="F15" s="24"/>
      <c r="G15" s="24"/>
      <c r="H15" s="24"/>
      <c r="I15" s="24"/>
      <c r="J15" s="24"/>
      <c r="K15" s="24"/>
      <c r="L15" s="6"/>
      <c r="M15" s="6"/>
      <c r="N15" s="26" t="s">
        <v>249</v>
      </c>
      <c r="O15" s="26"/>
      <c r="P15" s="26"/>
      <c r="Q15" s="26"/>
      <c r="R15" s="26"/>
      <c r="S15" s="26"/>
      <c r="T15" s="26"/>
      <c r="U15" s="26"/>
      <c r="V15" s="26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250</v>
      </c>
      <c r="BQ16" s="4" t="s">
        <v>208</v>
      </c>
      <c r="CH16" s="4" t="s">
        <v>251</v>
      </c>
      <c r="CR16" s="4" t="s">
        <v>252</v>
      </c>
      <c r="DB16" s="4" t="s">
        <v>253</v>
      </c>
      <c r="DC16" s="4" t="s">
        <v>254</v>
      </c>
      <c r="DD16" s="4" t="s">
        <v>255</v>
      </c>
      <c r="DG16" s="4" t="s">
        <v>256</v>
      </c>
      <c r="DH16" s="4" t="s">
        <v>257</v>
      </c>
      <c r="DI16" s="4" t="s">
        <v>258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259</v>
      </c>
      <c r="G17" s="8" t="s">
        <v>260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261</v>
      </c>
      <c r="R17" s="8" t="s">
        <v>262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260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262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26" t="s">
        <v>263</v>
      </c>
      <c r="D28" s="26"/>
      <c r="E28" s="26"/>
      <c r="F28" s="26"/>
      <c r="G28" s="26"/>
      <c r="H28" s="26"/>
      <c r="I28" s="26"/>
      <c r="J28" s="26"/>
      <c r="K28" s="26"/>
      <c r="L28" s="6"/>
      <c r="M28" s="6"/>
      <c r="N28" s="26" t="s">
        <v>264</v>
      </c>
      <c r="O28" s="26"/>
      <c r="P28" s="26"/>
      <c r="Q28" s="26"/>
      <c r="R28" s="26"/>
      <c r="S28" s="26"/>
      <c r="T28" s="26"/>
      <c r="U28" s="26"/>
      <c r="V28" s="26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265</v>
      </c>
      <c r="CR29" s="4" t="s">
        <v>266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267</v>
      </c>
      <c r="G30" s="8" t="s">
        <v>268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269</v>
      </c>
      <c r="R30" s="8" t="s">
        <v>270</v>
      </c>
      <c r="S30" s="18" t="s">
        <v>271</v>
      </c>
      <c r="T30" s="6"/>
      <c r="U30" s="6"/>
      <c r="V30" s="6"/>
      <c r="W30" s="6"/>
      <c r="Y30" s="6"/>
      <c r="Z30" s="6"/>
      <c r="AA30" s="6"/>
      <c r="AB30" s="7" t="s">
        <v>269</v>
      </c>
      <c r="AC30" s="8" t="s">
        <v>272</v>
      </c>
      <c r="AD30" s="18" t="s">
        <v>273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280</v>
      </c>
      <c r="DZ30" s="4" t="str" cm="1">
        <f t="array" ref="DZ30:DZ53">Lz_Chess(N5:V13, AC6, CR14, CS14, CT14, CU14, CV14)</f>
        <v>U12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  <c r="DZ31" s="4" t="str">
        <v>V12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  <c r="DZ32" s="4" t="str">
        <v>U13</v>
      </c>
    </row>
    <row r="33" spans="2:130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  <c r="DZ33" s="4" t="str">
        <v>T11</v>
      </c>
    </row>
    <row r="34" spans="2:130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  <c r="DZ34" s="4" t="str">
        <v>V11</v>
      </c>
    </row>
    <row r="35" spans="2:130">
      <c r="B35" s="6"/>
      <c r="C35" s="6"/>
      <c r="D35" s="9"/>
      <c r="E35" s="6"/>
      <c r="F35" s="9"/>
      <c r="G35" s="6"/>
      <c r="H35" s="9"/>
      <c r="I35" s="6" t="s">
        <v>268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  <c r="DZ35" s="4" t="str">
        <v>T13</v>
      </c>
    </row>
    <row r="36" spans="2:130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  <c r="DZ36" s="4" t="str">
        <v>S10</v>
      </c>
    </row>
    <row r="37" spans="2:130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  <c r="DZ37" s="4" t="str">
        <v>V10</v>
      </c>
    </row>
    <row r="38" spans="2:130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270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272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  <c r="DZ38" s="4" t="str">
        <v>S13</v>
      </c>
    </row>
    <row r="39" spans="2:130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  <c r="DZ39" s="4" t="str">
        <v>R9</v>
      </c>
    </row>
    <row r="40" spans="2:130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  <c r="DZ40" s="4" t="str">
        <v>V9</v>
      </c>
    </row>
    <row r="41" spans="2:130" ht="72" customHeight="1">
      <c r="B41" s="6"/>
      <c r="C41" s="24" t="s">
        <v>274</v>
      </c>
      <c r="D41" s="24"/>
      <c r="E41" s="24"/>
      <c r="F41" s="24"/>
      <c r="G41" s="24"/>
      <c r="H41" s="24"/>
      <c r="I41" s="24"/>
      <c r="J41" s="24"/>
      <c r="K41" s="24"/>
      <c r="L41" s="6"/>
      <c r="M41" s="6"/>
      <c r="N41" s="24" t="s">
        <v>275</v>
      </c>
      <c r="O41" s="24"/>
      <c r="P41" s="24"/>
      <c r="Q41" s="24"/>
      <c r="R41" s="24"/>
      <c r="S41" s="24"/>
      <c r="T41" s="24"/>
      <c r="U41" s="24"/>
      <c r="V41" s="24"/>
      <c r="W41" s="6"/>
      <c r="Y41" s="24" t="s">
        <v>276</v>
      </c>
      <c r="Z41" s="24"/>
      <c r="AA41" s="24"/>
      <c r="AB41" s="24"/>
      <c r="AC41" s="24"/>
      <c r="AD41" s="24"/>
      <c r="AE41" s="24"/>
      <c r="AF41" s="24"/>
      <c r="AG41" s="24"/>
      <c r="DB41" s="4">
        <v>0</v>
      </c>
      <c r="DC41" s="4" t="str">
        <v/>
      </c>
      <c r="DD41" s="4" t="str">
        <v/>
      </c>
      <c r="DZ41" s="4" t="str">
        <v>R13</v>
      </c>
    </row>
    <row r="42" spans="2:130">
      <c r="CH42" s="4" t="s">
        <v>237</v>
      </c>
      <c r="CR42" s="4" t="s">
        <v>277</v>
      </c>
      <c r="DB42" s="4">
        <v>0</v>
      </c>
      <c r="DC42" s="4" t="str">
        <v/>
      </c>
      <c r="DD42" s="4" t="str">
        <v/>
      </c>
      <c r="DZ42" s="4" t="str">
        <v>Q8</v>
      </c>
    </row>
    <row r="43" spans="2:130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  <c r="DZ43" s="4" t="str">
        <v>V8</v>
      </c>
    </row>
    <row r="44" spans="2:130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  <c r="DZ44" s="4" t="str">
        <v>Q13</v>
      </c>
    </row>
    <row r="45" spans="2:130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  <c r="DZ45" s="4" t="str">
        <v>P7</v>
      </c>
    </row>
    <row r="46" spans="2:130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  <c r="DZ46" s="4" t="str">
        <v>V7</v>
      </c>
    </row>
    <row r="47" spans="2:130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  <c r="DZ47" s="4" t="str">
        <v>P13</v>
      </c>
    </row>
    <row r="48" spans="2:130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  <c r="DZ48" s="4" t="str">
        <v>O6</v>
      </c>
    </row>
    <row r="49" spans="8:130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  <c r="DZ49" s="4" t="str">
        <v>V6</v>
      </c>
    </row>
    <row r="50" spans="8:130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  <c r="DZ50" s="4" t="str">
        <v>O13</v>
      </c>
    </row>
    <row r="51" spans="8:130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  <c r="DZ51" s="4" t="str">
        <v>N5</v>
      </c>
    </row>
    <row r="52" spans="8:130">
      <c r="H52" s="22"/>
      <c r="I52" s="22"/>
      <c r="J52" s="22"/>
      <c r="K52" s="22"/>
      <c r="DB52" s="4">
        <v>5</v>
      </c>
      <c r="DC52" s="4" t="str">
        <v>V8</v>
      </c>
      <c r="DD52" s="4">
        <v>0</v>
      </c>
      <c r="DZ52" s="4" t="str">
        <v>V5</v>
      </c>
    </row>
    <row r="53" spans="8:130">
      <c r="H53" s="22"/>
      <c r="I53" s="22"/>
      <c r="J53" s="22"/>
      <c r="K53" s="22"/>
      <c r="CH53" s="4" t="s">
        <v>267</v>
      </c>
      <c r="DB53" s="4">
        <v>0</v>
      </c>
      <c r="DC53" s="4" t="str">
        <v/>
      </c>
      <c r="DD53" s="4" t="str">
        <v/>
      </c>
      <c r="DZ53" s="4" t="str">
        <v>N13</v>
      </c>
    </row>
    <row r="54" spans="8:130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30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30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30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30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30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30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30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30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30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30">
      <c r="H64" s="22"/>
      <c r="I64" s="22"/>
      <c r="J64" s="22"/>
      <c r="K64" s="22"/>
      <c r="CH64" s="4" t="s">
        <v>278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279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sheetPr codeName="Sheet6"/>
  <dimension ref="B2:AE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281</v>
      </c>
      <c r="C2" s="21" t="s">
        <v>270</v>
      </c>
      <c r="D2" s="20" t="s">
        <v>238</v>
      </c>
      <c r="E2" s="21" t="s">
        <v>281</v>
      </c>
      <c r="F2" s="20" t="s">
        <v>282</v>
      </c>
      <c r="G2" s="21" t="s">
        <v>283</v>
      </c>
      <c r="H2" s="20" t="s">
        <v>281</v>
      </c>
      <c r="I2" s="21" t="s">
        <v>282</v>
      </c>
      <c r="J2" s="20" t="s">
        <v>270</v>
      </c>
      <c r="K2" s="21" t="s">
        <v>268</v>
      </c>
      <c r="L2" s="20" t="s">
        <v>272</v>
      </c>
      <c r="M2" s="21" t="s">
        <v>270</v>
      </c>
      <c r="N2" s="20" t="s">
        <v>270</v>
      </c>
      <c r="O2" s="21" t="s">
        <v>281</v>
      </c>
      <c r="P2" s="20" t="s">
        <v>283</v>
      </c>
      <c r="Q2" s="21" t="s">
        <v>270</v>
      </c>
      <c r="R2" s="20" t="s">
        <v>283</v>
      </c>
      <c r="S2" s="21" t="s">
        <v>270</v>
      </c>
      <c r="T2" s="20" t="s">
        <v>272</v>
      </c>
      <c r="U2" s="21" t="s">
        <v>281</v>
      </c>
    </row>
    <row r="3" spans="2:21" ht="27.75">
      <c r="B3" s="21" t="s">
        <v>281</v>
      </c>
      <c r="C3" s="20" t="s">
        <v>281</v>
      </c>
      <c r="D3" s="21" t="s">
        <v>281</v>
      </c>
      <c r="E3" s="20" t="s">
        <v>260</v>
      </c>
      <c r="F3" s="21" t="s">
        <v>281</v>
      </c>
      <c r="G3" s="20" t="s">
        <v>281</v>
      </c>
      <c r="H3" s="21" t="s">
        <v>272</v>
      </c>
      <c r="I3" s="20" t="s">
        <v>272</v>
      </c>
      <c r="J3" s="21" t="s">
        <v>272</v>
      </c>
      <c r="K3" s="20" t="s">
        <v>281</v>
      </c>
      <c r="L3" s="21" t="s">
        <v>281</v>
      </c>
      <c r="M3" s="20" t="s">
        <v>281</v>
      </c>
      <c r="N3" s="21" t="s">
        <v>281</v>
      </c>
      <c r="O3" s="20" t="s">
        <v>281</v>
      </c>
      <c r="P3" s="21" t="s">
        <v>270</v>
      </c>
      <c r="Q3" s="20" t="s">
        <v>270</v>
      </c>
      <c r="R3" s="21" t="s">
        <v>281</v>
      </c>
      <c r="S3" s="20" t="s">
        <v>281</v>
      </c>
      <c r="T3" s="21" t="s">
        <v>281</v>
      </c>
      <c r="U3" s="20" t="s">
        <v>281</v>
      </c>
    </row>
    <row r="4" spans="2:21" ht="27.75">
      <c r="B4" s="20" t="s">
        <v>281</v>
      </c>
      <c r="C4" s="21" t="s">
        <v>272</v>
      </c>
      <c r="D4" s="20" t="s">
        <v>281</v>
      </c>
      <c r="E4" s="21" t="s">
        <v>260</v>
      </c>
      <c r="F4" s="20" t="s">
        <v>270</v>
      </c>
      <c r="G4" s="21" t="s">
        <v>260</v>
      </c>
      <c r="H4" s="20" t="s">
        <v>281</v>
      </c>
      <c r="I4" s="21" t="s">
        <v>281</v>
      </c>
      <c r="J4" s="20" t="s">
        <v>281</v>
      </c>
      <c r="K4" s="21" t="s">
        <v>262</v>
      </c>
      <c r="L4" s="20" t="s">
        <v>270</v>
      </c>
      <c r="M4" s="21" t="s">
        <v>281</v>
      </c>
      <c r="N4" s="20" t="s">
        <v>270</v>
      </c>
      <c r="O4" s="21" t="s">
        <v>281</v>
      </c>
      <c r="P4" s="20" t="s">
        <v>281</v>
      </c>
      <c r="Q4" s="21" t="s">
        <v>281</v>
      </c>
      <c r="R4" s="20" t="s">
        <v>282</v>
      </c>
      <c r="S4" s="21" t="s">
        <v>281</v>
      </c>
      <c r="T4" s="20" t="s">
        <v>270</v>
      </c>
      <c r="U4" s="21" t="s">
        <v>281</v>
      </c>
    </row>
    <row r="5" spans="2:21" ht="27.75">
      <c r="B5" s="21" t="s">
        <v>281</v>
      </c>
      <c r="C5" s="20" t="s">
        <v>281</v>
      </c>
      <c r="D5" s="21" t="s">
        <v>268</v>
      </c>
      <c r="E5" s="20" t="s">
        <v>281</v>
      </c>
      <c r="F5" s="21" t="s">
        <v>272</v>
      </c>
      <c r="G5" s="20" t="s">
        <v>281</v>
      </c>
      <c r="H5" s="21" t="s">
        <v>270</v>
      </c>
      <c r="I5" s="20" t="s">
        <v>281</v>
      </c>
      <c r="J5" s="21" t="s">
        <v>281</v>
      </c>
      <c r="K5" s="20" t="s">
        <v>281</v>
      </c>
      <c r="L5" s="21" t="s">
        <v>281</v>
      </c>
      <c r="M5" s="20" t="s">
        <v>270</v>
      </c>
      <c r="N5" s="21" t="s">
        <v>268</v>
      </c>
      <c r="O5" s="20" t="s">
        <v>281</v>
      </c>
      <c r="P5" s="21" t="s">
        <v>281</v>
      </c>
      <c r="Q5" s="20" t="s">
        <v>281</v>
      </c>
      <c r="R5" s="21" t="s">
        <v>260</v>
      </c>
      <c r="S5" s="20" t="s">
        <v>281</v>
      </c>
      <c r="T5" s="21" t="s">
        <v>272</v>
      </c>
      <c r="U5" s="20" t="s">
        <v>281</v>
      </c>
    </row>
    <row r="6" spans="2:21" ht="27.75">
      <c r="B6" s="20" t="s">
        <v>272</v>
      </c>
      <c r="C6" s="21" t="s">
        <v>260</v>
      </c>
      <c r="D6" s="20" t="s">
        <v>281</v>
      </c>
      <c r="E6" s="21" t="s">
        <v>270</v>
      </c>
      <c r="F6" s="20" t="s">
        <v>281</v>
      </c>
      <c r="G6" s="21" t="s">
        <v>281</v>
      </c>
      <c r="H6" s="20" t="s">
        <v>268</v>
      </c>
      <c r="I6" s="21" t="s">
        <v>281</v>
      </c>
      <c r="J6" s="20" t="s">
        <v>270</v>
      </c>
      <c r="K6" s="21" t="s">
        <v>262</v>
      </c>
      <c r="L6" s="20" t="s">
        <v>281</v>
      </c>
      <c r="M6" s="21" t="s">
        <v>281</v>
      </c>
      <c r="N6" s="20" t="s">
        <v>281</v>
      </c>
      <c r="O6" s="21" t="s">
        <v>262</v>
      </c>
      <c r="P6" s="20" t="s">
        <v>272</v>
      </c>
      <c r="Q6" s="21" t="s">
        <v>281</v>
      </c>
      <c r="R6" s="20" t="s">
        <v>284</v>
      </c>
      <c r="S6" s="21" t="s">
        <v>281</v>
      </c>
      <c r="T6" s="20" t="s">
        <v>272</v>
      </c>
      <c r="U6" s="21" t="s">
        <v>281</v>
      </c>
    </row>
    <row r="7" spans="2:21" ht="27.75">
      <c r="B7" s="21" t="s">
        <v>281</v>
      </c>
      <c r="C7" s="20" t="s">
        <v>281</v>
      </c>
      <c r="D7" s="21" t="s">
        <v>281</v>
      </c>
      <c r="E7" s="20" t="s">
        <v>268</v>
      </c>
      <c r="F7" s="21" t="s">
        <v>281</v>
      </c>
      <c r="G7" s="20" t="s">
        <v>270</v>
      </c>
      <c r="H7" s="21" t="s">
        <v>283</v>
      </c>
      <c r="I7" s="20" t="s">
        <v>283</v>
      </c>
      <c r="J7" s="21" t="s">
        <v>281</v>
      </c>
      <c r="K7" s="20" t="s">
        <v>281</v>
      </c>
      <c r="L7" s="21" t="s">
        <v>281</v>
      </c>
      <c r="M7" s="20" t="s">
        <v>262</v>
      </c>
      <c r="N7" s="21" t="s">
        <v>270</v>
      </c>
      <c r="O7" s="20" t="s">
        <v>281</v>
      </c>
      <c r="P7" s="21" t="s">
        <v>282</v>
      </c>
      <c r="Q7" s="20" t="s">
        <v>281</v>
      </c>
      <c r="R7" s="21" t="s">
        <v>270</v>
      </c>
      <c r="S7" s="20" t="s">
        <v>281</v>
      </c>
      <c r="T7" s="21" t="s">
        <v>281</v>
      </c>
      <c r="U7" s="20" t="s">
        <v>270</v>
      </c>
    </row>
    <row r="8" spans="2:21" ht="27.75">
      <c r="B8" s="20" t="s">
        <v>272</v>
      </c>
      <c r="C8" s="21" t="s">
        <v>247</v>
      </c>
      <c r="D8" s="20" t="s">
        <v>262</v>
      </c>
      <c r="E8" s="21" t="s">
        <v>281</v>
      </c>
      <c r="F8" s="20" t="s">
        <v>283</v>
      </c>
      <c r="G8" s="21" t="s">
        <v>281</v>
      </c>
      <c r="H8" s="20" t="s">
        <v>281</v>
      </c>
      <c r="I8" s="21" t="s">
        <v>281</v>
      </c>
      <c r="J8" s="20" t="s">
        <v>282</v>
      </c>
      <c r="K8" s="21" t="s">
        <v>281</v>
      </c>
      <c r="L8" s="20" t="s">
        <v>270</v>
      </c>
      <c r="M8" s="21" t="s">
        <v>262</v>
      </c>
      <c r="N8" s="20" t="s">
        <v>284</v>
      </c>
      <c r="O8" s="21" t="s">
        <v>284</v>
      </c>
      <c r="P8" s="20" t="s">
        <v>262</v>
      </c>
      <c r="Q8" s="21" t="s">
        <v>262</v>
      </c>
      <c r="R8" s="20" t="s">
        <v>283</v>
      </c>
      <c r="S8" s="21" t="s">
        <v>272</v>
      </c>
      <c r="T8" s="20" t="s">
        <v>272</v>
      </c>
      <c r="U8" s="21" t="s">
        <v>270</v>
      </c>
    </row>
    <row r="9" spans="2:21" ht="27.75">
      <c r="B9" s="21" t="s">
        <v>281</v>
      </c>
      <c r="C9" s="20" t="s">
        <v>282</v>
      </c>
      <c r="D9" s="21" t="s">
        <v>283</v>
      </c>
      <c r="E9" s="20" t="s">
        <v>282</v>
      </c>
      <c r="F9" s="21" t="s">
        <v>281</v>
      </c>
      <c r="G9" s="20" t="s">
        <v>281</v>
      </c>
      <c r="H9" s="21" t="s">
        <v>272</v>
      </c>
      <c r="I9" s="20" t="s">
        <v>270</v>
      </c>
      <c r="J9" s="21" t="s">
        <v>238</v>
      </c>
      <c r="K9" s="20" t="s">
        <v>281</v>
      </c>
      <c r="L9" s="21" t="s">
        <v>272</v>
      </c>
      <c r="M9" s="20" t="s">
        <v>281</v>
      </c>
      <c r="N9" s="21" t="s">
        <v>281</v>
      </c>
      <c r="O9" s="20" t="s">
        <v>281</v>
      </c>
      <c r="P9" s="21" t="s">
        <v>272</v>
      </c>
      <c r="Q9" s="20" t="s">
        <v>281</v>
      </c>
      <c r="R9" s="21" t="s">
        <v>281</v>
      </c>
      <c r="S9" s="20" t="s">
        <v>281</v>
      </c>
      <c r="T9" s="21" t="s">
        <v>282</v>
      </c>
      <c r="U9" s="20" t="s">
        <v>281</v>
      </c>
    </row>
    <row r="10" spans="2:21" ht="27.75">
      <c r="B10" s="20" t="s">
        <v>281</v>
      </c>
      <c r="C10" s="21" t="s">
        <v>272</v>
      </c>
      <c r="D10" s="20" t="s">
        <v>272</v>
      </c>
      <c r="E10" s="21" t="s">
        <v>281</v>
      </c>
      <c r="F10" s="20" t="s">
        <v>260</v>
      </c>
      <c r="G10" s="21" t="s">
        <v>270</v>
      </c>
      <c r="H10" s="20" t="s">
        <v>272</v>
      </c>
      <c r="I10" s="21" t="s">
        <v>262</v>
      </c>
      <c r="J10" s="20" t="s">
        <v>270</v>
      </c>
      <c r="K10" s="21" t="s">
        <v>282</v>
      </c>
      <c r="L10" s="20" t="s">
        <v>281</v>
      </c>
      <c r="M10" s="21" t="s">
        <v>281</v>
      </c>
      <c r="N10" s="20" t="s">
        <v>282</v>
      </c>
      <c r="O10" s="21" t="s">
        <v>284</v>
      </c>
      <c r="P10" s="20" t="s">
        <v>260</v>
      </c>
      <c r="Q10" s="21" t="s">
        <v>272</v>
      </c>
      <c r="R10" s="20" t="s">
        <v>268</v>
      </c>
      <c r="S10" s="21" t="s">
        <v>281</v>
      </c>
      <c r="T10" s="20" t="s">
        <v>281</v>
      </c>
      <c r="U10" s="21" t="s">
        <v>284</v>
      </c>
    </row>
    <row r="11" spans="2:21" ht="27.75">
      <c r="B11" s="21" t="s">
        <v>281</v>
      </c>
      <c r="C11" s="20" t="s">
        <v>281</v>
      </c>
      <c r="D11" s="21" t="s">
        <v>270</v>
      </c>
      <c r="E11" s="20" t="s">
        <v>281</v>
      </c>
      <c r="F11" s="21" t="s">
        <v>272</v>
      </c>
      <c r="G11" s="20" t="s">
        <v>281</v>
      </c>
      <c r="H11" s="21" t="s">
        <v>281</v>
      </c>
      <c r="I11" s="20" t="s">
        <v>281</v>
      </c>
      <c r="J11" s="21" t="s">
        <v>283</v>
      </c>
      <c r="K11" s="20" t="s">
        <v>270</v>
      </c>
      <c r="L11" s="21" t="s">
        <v>270</v>
      </c>
      <c r="M11" s="20" t="s">
        <v>281</v>
      </c>
      <c r="N11" s="21" t="s">
        <v>281</v>
      </c>
      <c r="O11" s="20" t="s">
        <v>270</v>
      </c>
      <c r="P11" s="21" t="s">
        <v>281</v>
      </c>
      <c r="Q11" s="20" t="s">
        <v>284</v>
      </c>
      <c r="R11" s="21" t="s">
        <v>281</v>
      </c>
      <c r="S11" s="20" t="s">
        <v>281</v>
      </c>
      <c r="T11" s="21" t="s">
        <v>272</v>
      </c>
      <c r="U11" s="20" t="s">
        <v>281</v>
      </c>
    </row>
    <row r="12" spans="2:21" ht="27.75">
      <c r="B12" s="20" t="s">
        <v>262</v>
      </c>
      <c r="C12" s="21" t="s">
        <v>281</v>
      </c>
      <c r="D12" s="20" t="s">
        <v>281</v>
      </c>
      <c r="E12" s="21" t="s">
        <v>281</v>
      </c>
      <c r="F12" s="20" t="s">
        <v>272</v>
      </c>
      <c r="G12" s="21" t="s">
        <v>260</v>
      </c>
      <c r="H12" s="20" t="s">
        <v>284</v>
      </c>
      <c r="I12" s="21" t="s">
        <v>272</v>
      </c>
      <c r="J12" s="20" t="s">
        <v>281</v>
      </c>
      <c r="K12" s="21" t="s">
        <v>282</v>
      </c>
      <c r="L12" s="20" t="s">
        <v>281</v>
      </c>
      <c r="M12" s="21" t="s">
        <v>281</v>
      </c>
      <c r="N12" s="20" t="s">
        <v>272</v>
      </c>
      <c r="O12" s="21" t="s">
        <v>282</v>
      </c>
      <c r="P12" s="20" t="s">
        <v>281</v>
      </c>
      <c r="Q12" s="21" t="s">
        <v>284</v>
      </c>
      <c r="R12" s="20" t="s">
        <v>272</v>
      </c>
      <c r="S12" s="21" t="s">
        <v>272</v>
      </c>
      <c r="T12" s="20" t="s">
        <v>272</v>
      </c>
      <c r="U12" s="21" t="s">
        <v>281</v>
      </c>
    </row>
    <row r="13" spans="2:21" ht="27.75">
      <c r="B13" s="21" t="s">
        <v>281</v>
      </c>
      <c r="C13" s="20" t="s">
        <v>281</v>
      </c>
      <c r="D13" s="21" t="s">
        <v>270</v>
      </c>
      <c r="E13" s="20" t="s">
        <v>262</v>
      </c>
      <c r="F13" s="21" t="s">
        <v>284</v>
      </c>
      <c r="G13" s="20" t="s">
        <v>281</v>
      </c>
      <c r="H13" s="21" t="s">
        <v>282</v>
      </c>
      <c r="I13" s="20" t="s">
        <v>281</v>
      </c>
      <c r="J13" s="21" t="s">
        <v>281</v>
      </c>
      <c r="K13" s="20" t="s">
        <v>281</v>
      </c>
      <c r="L13" s="21" t="s">
        <v>281</v>
      </c>
      <c r="M13" s="20" t="s">
        <v>281</v>
      </c>
      <c r="N13" s="21" t="s">
        <v>283</v>
      </c>
      <c r="O13" s="20" t="s">
        <v>283</v>
      </c>
      <c r="P13" s="21" t="s">
        <v>281</v>
      </c>
      <c r="Q13" s="20" t="s">
        <v>281</v>
      </c>
      <c r="R13" s="21" t="s">
        <v>262</v>
      </c>
      <c r="S13" s="20" t="s">
        <v>268</v>
      </c>
      <c r="T13" s="21" t="s">
        <v>281</v>
      </c>
      <c r="U13" s="20" t="s">
        <v>262</v>
      </c>
    </row>
    <row r="14" spans="2:21" ht="27.75">
      <c r="B14" s="20" t="s">
        <v>283</v>
      </c>
      <c r="C14" s="21" t="s">
        <v>272</v>
      </c>
      <c r="D14" s="20" t="s">
        <v>281</v>
      </c>
      <c r="E14" s="21" t="s">
        <v>281</v>
      </c>
      <c r="F14" s="20" t="s">
        <v>270</v>
      </c>
      <c r="G14" s="21" t="s">
        <v>281</v>
      </c>
      <c r="H14" s="20" t="s">
        <v>281</v>
      </c>
      <c r="I14" s="21" t="s">
        <v>268</v>
      </c>
      <c r="J14" s="20" t="s">
        <v>281</v>
      </c>
      <c r="K14" s="21" t="s">
        <v>272</v>
      </c>
      <c r="L14" s="20" t="s">
        <v>281</v>
      </c>
      <c r="M14" s="21" t="s">
        <v>281</v>
      </c>
      <c r="N14" s="20" t="s">
        <v>260</v>
      </c>
      <c r="O14" s="21" t="s">
        <v>281</v>
      </c>
      <c r="P14" s="20" t="s">
        <v>268</v>
      </c>
      <c r="Q14" s="21" t="s">
        <v>272</v>
      </c>
      <c r="R14" s="20" t="s">
        <v>281</v>
      </c>
      <c r="S14" s="21" t="s">
        <v>281</v>
      </c>
      <c r="T14" s="20" t="s">
        <v>260</v>
      </c>
      <c r="U14" s="21" t="s">
        <v>260</v>
      </c>
    </row>
    <row r="15" spans="2:21" ht="27.75">
      <c r="B15" s="21" t="s">
        <v>285</v>
      </c>
      <c r="C15" s="20" t="s">
        <v>281</v>
      </c>
      <c r="D15" s="21" t="s">
        <v>281</v>
      </c>
      <c r="E15" s="20" t="s">
        <v>281</v>
      </c>
      <c r="F15" s="21" t="s">
        <v>270</v>
      </c>
      <c r="G15" s="20" t="s">
        <v>281</v>
      </c>
      <c r="H15" s="21" t="s">
        <v>270</v>
      </c>
      <c r="I15" s="20" t="s">
        <v>268</v>
      </c>
      <c r="J15" s="21" t="s">
        <v>281</v>
      </c>
      <c r="K15" s="20" t="s">
        <v>281</v>
      </c>
      <c r="L15" s="21" t="s">
        <v>270</v>
      </c>
      <c r="M15" s="20" t="s">
        <v>281</v>
      </c>
      <c r="N15" s="21" t="s">
        <v>281</v>
      </c>
      <c r="O15" s="20" t="s">
        <v>272</v>
      </c>
      <c r="P15" s="21" t="s">
        <v>281</v>
      </c>
      <c r="Q15" s="20" t="s">
        <v>281</v>
      </c>
      <c r="R15" s="21" t="s">
        <v>281</v>
      </c>
      <c r="S15" s="20" t="s">
        <v>281</v>
      </c>
      <c r="T15" s="21" t="s">
        <v>260</v>
      </c>
      <c r="U15" s="20" t="s">
        <v>281</v>
      </c>
    </row>
    <row r="16" spans="2:21" ht="27.75">
      <c r="B16" s="20" t="s">
        <v>281</v>
      </c>
      <c r="C16" s="21" t="s">
        <v>281</v>
      </c>
      <c r="D16" s="20" t="s">
        <v>281</v>
      </c>
      <c r="E16" s="21" t="s">
        <v>281</v>
      </c>
      <c r="F16" s="20" t="s">
        <v>281</v>
      </c>
      <c r="G16" s="21" t="s">
        <v>268</v>
      </c>
      <c r="H16" s="20" t="s">
        <v>281</v>
      </c>
      <c r="I16" s="21" t="s">
        <v>268</v>
      </c>
      <c r="J16" s="20" t="s">
        <v>281</v>
      </c>
      <c r="K16" s="21" t="s">
        <v>270</v>
      </c>
      <c r="L16" s="20" t="s">
        <v>281</v>
      </c>
      <c r="M16" s="21" t="s">
        <v>270</v>
      </c>
      <c r="N16" s="20" t="s">
        <v>270</v>
      </c>
      <c r="O16" s="21" t="s">
        <v>272</v>
      </c>
      <c r="P16" s="20" t="s">
        <v>281</v>
      </c>
      <c r="Q16" s="21" t="s">
        <v>270</v>
      </c>
      <c r="R16" s="20" t="s">
        <v>262</v>
      </c>
      <c r="S16" s="21" t="s">
        <v>281</v>
      </c>
      <c r="T16" s="20" t="s">
        <v>284</v>
      </c>
      <c r="U16" s="21" t="s">
        <v>281</v>
      </c>
    </row>
    <row r="17" spans="2:31" ht="27.75">
      <c r="B17" s="21" t="s">
        <v>270</v>
      </c>
      <c r="C17" s="20" t="s">
        <v>281</v>
      </c>
      <c r="D17" s="21" t="s">
        <v>284</v>
      </c>
      <c r="E17" s="20" t="s">
        <v>284</v>
      </c>
      <c r="F17" s="21" t="s">
        <v>281</v>
      </c>
      <c r="G17" s="20" t="s">
        <v>270</v>
      </c>
      <c r="H17" s="21" t="s">
        <v>272</v>
      </c>
      <c r="I17" s="20" t="s">
        <v>281</v>
      </c>
      <c r="J17" s="21" t="s">
        <v>281</v>
      </c>
      <c r="K17" s="20" t="s">
        <v>281</v>
      </c>
      <c r="L17" s="21" t="s">
        <v>281</v>
      </c>
      <c r="M17" s="20" t="s">
        <v>270</v>
      </c>
      <c r="N17" s="21" t="s">
        <v>282</v>
      </c>
      <c r="O17" s="20" t="s">
        <v>284</v>
      </c>
      <c r="P17" s="21" t="s">
        <v>281</v>
      </c>
      <c r="Q17" s="20" t="s">
        <v>283</v>
      </c>
      <c r="R17" s="21" t="s">
        <v>281</v>
      </c>
      <c r="S17" s="20" t="s">
        <v>281</v>
      </c>
      <c r="T17" s="21" t="s">
        <v>281</v>
      </c>
      <c r="U17" s="20" t="s">
        <v>272</v>
      </c>
    </row>
    <row r="18" spans="2:31" ht="27.75">
      <c r="B18" s="20" t="s">
        <v>270</v>
      </c>
      <c r="C18" s="21" t="s">
        <v>260</v>
      </c>
      <c r="D18" s="20" t="s">
        <v>281</v>
      </c>
      <c r="E18" s="21" t="s">
        <v>281</v>
      </c>
      <c r="F18" s="20" t="s">
        <v>272</v>
      </c>
      <c r="G18" s="21" t="s">
        <v>281</v>
      </c>
      <c r="H18" s="20" t="s">
        <v>281</v>
      </c>
      <c r="I18" s="21" t="s">
        <v>281</v>
      </c>
      <c r="J18" s="20" t="s">
        <v>281</v>
      </c>
      <c r="K18" s="21" t="s">
        <v>270</v>
      </c>
      <c r="L18" s="20" t="s">
        <v>281</v>
      </c>
      <c r="M18" s="21" t="s">
        <v>270</v>
      </c>
      <c r="N18" s="20" t="s">
        <v>247</v>
      </c>
      <c r="O18" s="21" t="s">
        <v>272</v>
      </c>
      <c r="P18" s="20" t="s">
        <v>247</v>
      </c>
      <c r="Q18" s="21" t="s">
        <v>281</v>
      </c>
      <c r="R18" s="20" t="s">
        <v>281</v>
      </c>
      <c r="S18" s="21" t="s">
        <v>281</v>
      </c>
      <c r="T18" s="20" t="s">
        <v>281</v>
      </c>
      <c r="U18" s="21" t="s">
        <v>281</v>
      </c>
    </row>
    <row r="19" spans="2:31" ht="27.75">
      <c r="B19" s="21" t="s">
        <v>268</v>
      </c>
      <c r="C19" s="20" t="s">
        <v>268</v>
      </c>
      <c r="D19" s="21" t="s">
        <v>283</v>
      </c>
      <c r="E19" s="20" t="s">
        <v>272</v>
      </c>
      <c r="F19" s="21" t="s">
        <v>282</v>
      </c>
      <c r="G19" s="20" t="s">
        <v>281</v>
      </c>
      <c r="H19" s="21" t="s">
        <v>281</v>
      </c>
      <c r="I19" s="20" t="s">
        <v>284</v>
      </c>
      <c r="J19" s="21" t="s">
        <v>281</v>
      </c>
      <c r="K19" s="20" t="s">
        <v>281</v>
      </c>
      <c r="L19" s="21" t="s">
        <v>281</v>
      </c>
      <c r="M19" s="20" t="s">
        <v>270</v>
      </c>
      <c r="N19" s="21" t="s">
        <v>281</v>
      </c>
      <c r="O19" s="20" t="s">
        <v>270</v>
      </c>
      <c r="P19" s="21" t="s">
        <v>260</v>
      </c>
      <c r="Q19" s="20" t="s">
        <v>281</v>
      </c>
      <c r="R19" s="21" t="s">
        <v>270</v>
      </c>
      <c r="S19" s="20" t="s">
        <v>281</v>
      </c>
      <c r="T19" s="21" t="s">
        <v>272</v>
      </c>
      <c r="U19" s="20" t="s">
        <v>283</v>
      </c>
    </row>
    <row r="20" spans="2:31" ht="27.75">
      <c r="B20" s="20" t="s">
        <v>281</v>
      </c>
      <c r="C20" s="21" t="s">
        <v>272</v>
      </c>
      <c r="D20" s="20" t="s">
        <v>260</v>
      </c>
      <c r="E20" s="21" t="s">
        <v>281</v>
      </c>
      <c r="F20" s="20" t="s">
        <v>272</v>
      </c>
      <c r="G20" s="21" t="s">
        <v>281</v>
      </c>
      <c r="H20" s="20" t="s">
        <v>262</v>
      </c>
      <c r="I20" s="21" t="s">
        <v>281</v>
      </c>
      <c r="J20" s="20" t="s">
        <v>281</v>
      </c>
      <c r="K20" s="21" t="s">
        <v>235</v>
      </c>
      <c r="L20" s="20" t="s">
        <v>284</v>
      </c>
      <c r="M20" s="21" t="s">
        <v>281</v>
      </c>
      <c r="N20" s="20" t="s">
        <v>281</v>
      </c>
      <c r="O20" s="21" t="s">
        <v>281</v>
      </c>
      <c r="P20" s="20" t="s">
        <v>270</v>
      </c>
      <c r="Q20" s="21" t="s">
        <v>281</v>
      </c>
      <c r="R20" s="20" t="s">
        <v>281</v>
      </c>
      <c r="S20" s="21" t="s">
        <v>238</v>
      </c>
      <c r="T20" s="20" t="s">
        <v>268</v>
      </c>
      <c r="U20" s="21" t="s">
        <v>272</v>
      </c>
    </row>
    <row r="21" spans="2:31" ht="27.75">
      <c r="B21" s="21" t="s">
        <v>281</v>
      </c>
      <c r="C21" s="20" t="s">
        <v>281</v>
      </c>
      <c r="D21" s="21" t="s">
        <v>272</v>
      </c>
      <c r="E21" s="20" t="s">
        <v>247</v>
      </c>
      <c r="F21" s="21" t="s">
        <v>281</v>
      </c>
      <c r="G21" s="20" t="s">
        <v>270</v>
      </c>
      <c r="H21" s="21" t="s">
        <v>281</v>
      </c>
      <c r="I21" s="20" t="s">
        <v>272</v>
      </c>
      <c r="J21" s="21" t="s">
        <v>281</v>
      </c>
      <c r="K21" s="20" t="s">
        <v>272</v>
      </c>
      <c r="L21" s="21" t="s">
        <v>272</v>
      </c>
      <c r="M21" s="20" t="s">
        <v>281</v>
      </c>
      <c r="N21" s="21" t="s">
        <v>281</v>
      </c>
      <c r="O21" s="20" t="s">
        <v>272</v>
      </c>
      <c r="P21" s="21" t="s">
        <v>272</v>
      </c>
      <c r="Q21" s="20" t="s">
        <v>281</v>
      </c>
      <c r="R21" s="21" t="s">
        <v>272</v>
      </c>
      <c r="S21" s="20" t="s">
        <v>270</v>
      </c>
      <c r="T21" s="21" t="s">
        <v>281</v>
      </c>
      <c r="U21" s="20" t="s">
        <v>238</v>
      </c>
    </row>
    <row r="23" spans="2:31">
      <c r="H23" t="s">
        <v>286</v>
      </c>
    </row>
    <row r="24" spans="2:31">
      <c r="B24" t="str" cm="1">
        <f t="array" ref="B24:C423">Flatten(B2:U21)</f>
        <v>B2</v>
      </c>
      <c r="C24" t="str">
        <v xml:space="preserve"> </v>
      </c>
    </row>
    <row r="25" spans="2:31">
      <c r="B25" t="str">
        <v>C2</v>
      </c>
      <c r="C25" t="str">
        <v>♙</v>
      </c>
    </row>
    <row r="26" spans="2:31">
      <c r="B26" t="str">
        <v>D2</v>
      </c>
      <c r="C26" t="str">
        <v>♕</v>
      </c>
    </row>
    <row r="27" spans="2:31" ht="27.75">
      <c r="B27" t="str">
        <v>E2</v>
      </c>
      <c r="C27" t="str">
        <v xml:space="preserve"> </v>
      </c>
      <c r="H27" s="20" t="str" cm="1">
        <f t="array" ref="H27:I28">Lz_Chess(B2:U21,H23,_xlfn.XLOOKUP(H23,B24:B423,C24:C423),1,,1,)</f>
        <v>N18</v>
      </c>
      <c r="I27" s="21" t="str">
        <v>♛</v>
      </c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str" cm="1">
        <f t="array" ref="AD27:AE28">Lz_Chess(B2:U21,H23,_xlfn.XLOOKUP(H23,B24:B423,C24:C423),1,,1,)</f>
        <v>N18</v>
      </c>
      <c r="AE27" t="str">
        <v>♛</v>
      </c>
    </row>
    <row r="28" spans="2:31" ht="27.75">
      <c r="B28" t="str">
        <v>F2</v>
      </c>
      <c r="C28" t="str">
        <v>♝</v>
      </c>
      <c r="H28" s="21" t="str">
        <v>P18</v>
      </c>
      <c r="I28" s="20" t="str">
        <v>♛</v>
      </c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  <c r="AD28" t="str">
        <v>P18</v>
      </c>
      <c r="AE28" t="str">
        <v>♛</v>
      </c>
    </row>
    <row r="29" spans="2:31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1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1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1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List</vt:lpstr>
      <vt:lpstr>LabDiag</vt:lpstr>
      <vt:lpstr>Lz_Adjacent_Lab</vt:lpstr>
      <vt:lpstr>LabLargeNum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2026-09-21T12:56:04Z</dcterms:modified>
</cp:coreProperties>
</file>