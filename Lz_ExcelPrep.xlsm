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8FB292C2-57C9-4C19-A23A-8F6C3CB27C2B}" xr6:coauthVersionLast="47" xr6:coauthVersionMax="47" xr10:uidLastSave="{00000000-0000-0000-0000-000000000000}"/>
  <bookViews>
    <workbookView xWindow="-28920" yWindow="-120" windowWidth="29040" windowHeight="15720" activeTab="5" xr2:uid="{9236451A-4302-4494-82B2-AA9DCE6A8504}"/>
  </bookViews>
  <sheets>
    <sheet name="List" sheetId="1" r:id="rId1"/>
    <sheet name="LabDiag" sheetId="3" state="hidden" r:id="rId2"/>
    <sheet name="Lz_Adjacent_Lab" sheetId="5" state="hidden" r:id="rId3"/>
    <sheet name="LabLargeNum" sheetId="4" state="hidden" r:id="rId4"/>
    <sheet name="cp1" sheetId="8" state="hidden" r:id="rId5"/>
    <sheet name="cp" sheetId="9" r:id="rId6"/>
    <sheet name="Lz_Diagonals" sheetId="2" state="hidden" r:id="rId7"/>
    <sheet name="Lz_Chess Lab" sheetId="6" state="hidden" r:id="rId8"/>
    <sheet name="Lz_Chess Lab2" sheetId="7" state="hidden" r:id="rId9"/>
  </sheets>
  <functionGroups builtInGroupCount="19"/>
  <definedNames>
    <definedName name="_regPattern" localSheetId="7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'Lz_Chess Lab'!_regSanitize(_xlpm.list), _xlpm.list)                &amp; _xlfn.SWITCH(_xlpm.end_1word_2line, 1, "\b", 2, "$", ""),             LEN(_xlpm.list), -1 ) ) &amp; ")" )</definedName>
    <definedName name="_regPattern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_regSanitize(_xlpm.list), _xlpm.list)                &amp; _xlfn.SWITCH(_xlpm.end_1word_2line, 1, "\b", 2, "$", ""),             LEN(_xlpm.list), -1 ) ) &amp; ")" )</definedName>
    <definedName name="_regSanitize" localSheetId="7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regSanitize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xleta.ADDRESS" hidden="1" xlm="1">#NAME?</definedName>
    <definedName name="_xleta.CHOOSE" hidden="1" xlm="1">#NAME?</definedName>
    <definedName name="_xleta.CHOOSEROWS" hidden="1" xlm="1">#NAME?</definedName>
    <definedName name="_xleta.CONCAT" hidden="1" xlm="1">#NAME?</definedName>
    <definedName name="_xleta.DROP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MAP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NA" hidden="1" xlm="1">#NAME?</definedName>
    <definedName name="_xleta.REDUCE" hidden="1" xlm="1">#NAME?</definedName>
    <definedName name="_xleta.ROW" hidden="1" xlm="1">#NAME?</definedName>
    <definedName name="_xleta.ROWS" hidden="1" xlm="1">#NAME?</definedName>
    <definedName name="_xleta.SCAN" hidden="1" xlm="1">#NAME?</definedName>
    <definedName name="_xleta.SEARCH" hidden="1" xlm="1">#NAME?</definedName>
    <definedName name="_xleta.SUM" hidden="1" xlm="1">#NAME?</definedName>
    <definedName name="_xleta.TAKE" hidden="1" xlm="1">#NAME?</definedName>
    <definedName name="_xleta.TEXT" hidden="1" xlm="1">#NAME?</definedName>
    <definedName name="_xleta.TOCOL" hidden="1" xlm="1">#NAME?</definedName>
    <definedName name="_xleta.VALUE" hidden="1" xlm="1">#NAME?</definedName>
    <definedName name="_xleta.VSTACK" hidden="1" xlm="1">#NAME?</definedName>
    <definedName name="_xleta.XMATCH" hidden="1" xlm="1">#NAME?</definedName>
    <definedName name="_xlop._" hidden="1" xlm="1">#NAME?</definedName>
    <definedName name="_xlop.__1Keep_" hidden="1" xlm="1">#NAME?</definedName>
    <definedName name="_xlop._0_1Keep_" hidden="1" xlm="1">#NAME?</definedName>
    <definedName name="_xlop._0K_1Keep_" hidden="1" xlm="1">#NAME?</definedName>
    <definedName name="_xlop._0Ke_1Keep_" hidden="1" xlm="1">#NAME?</definedName>
    <definedName name="_xlop._0Kee_1Keep_" hidden="1" xlm="1">#NAME?</definedName>
    <definedName name="_xlop._0Keep_1_" hidden="1" xlm="1">#NAME?</definedName>
    <definedName name="_xlop._0Keep_1E_" hidden="1" xlm="1">#NAME?</definedName>
    <definedName name="_xlop._0Keep_1eep_" hidden="1" xlm="1">#NAME?</definedName>
    <definedName name="_xlop._0Keep_1ep_" hidden="1" xlm="1">#NAME?</definedName>
    <definedName name="_xlop._0Keep_1Ex_" hidden="1" xlm="1">#NAME?</definedName>
    <definedName name="_xlop._0Keep_1Exc_" hidden="1" xlm="1">#NAME?</definedName>
    <definedName name="_xlop._0Keep_1Exce_" hidden="1" xlm="1">#NAME?</definedName>
    <definedName name="_xlop._0Keep_1Excep_" hidden="1" xlm="1">#NAME?</definedName>
    <definedName name="_xlop._0Keep_1Except" hidden="1" xlm="1">#NAME?</definedName>
    <definedName name="_xlop._0Keep_1Except_" hidden="1" xlm="1">#NAME?</definedName>
    <definedName name="_xlop._0Keep_1Keep_" hidden="1" xlm="1">#NAME?</definedName>
    <definedName name="_xlop._0Keep_1p_" hidden="1" xlm="1">#NAME?</definedName>
    <definedName name="_xlop._0Keep_Keep_" hidden="1" xlm="1">#NAME?</definedName>
    <definedName name="_xlop._1" hidden="1" xlm="1">#NAME?</definedName>
    <definedName name="_xlop._1K" hidden="1" xlm="1">#NAME?</definedName>
    <definedName name="_xlop._1Ke" hidden="1" xlm="1">#NAME?</definedName>
    <definedName name="_xlop._1Kee" hidden="1" xlm="1">#NAME?</definedName>
    <definedName name="_xlop._1Keep" hidden="1" xlm="1">#NAME?</definedName>
    <definedName name="_xlop._1Keep_" hidden="1" xlm="1">#NAME?</definedName>
    <definedName name="_xlop._Diag1_NoDiag2_Pythag3_Losange4" hidden="1" xlm="1">#NAME?</definedName>
    <definedName name="_xlop._ForHvd2ForHv3ForPyth" hidden="1" xlm="1">#NAME?</definedName>
    <definedName name="_xlop._Radius" hidden="1" xlm="1">#NAME?</definedName>
    <definedName name="_xlop._Square1Losange2Cercle3" hidden="1" xlm="1">#NAME?</definedName>
    <definedName name="_xlop._Square1Losange2Cercle3C" hidden="1" xlm="1">#NAME?</definedName>
    <definedName name="_xlop._Square1Losange2Cercle3Cr" hidden="1" xlm="1">#NAME?</definedName>
    <definedName name="_xlop._Square1Losange2Cercle3Cro" hidden="1" xlm="1">#NAME?</definedName>
    <definedName name="_xlop._Square1Losange2Cercle3Cros" hidden="1" xlm="1">#NAME?</definedName>
    <definedName name="_xlop._Square1Losange2Cercle3Cross" hidden="1" xlm="1">#NAME?</definedName>
    <definedName name="_xlop._Square1Losange2Cercle3Cross4" hidden="1" xlm="1">#NAME?</definedName>
    <definedName name="_xlop._Square1Losange2Cercle3Cross4P" hidden="1" xlm="1">#NAME?</definedName>
    <definedName name="_xlop._Square1Losange2Cercle3Cross4Pl" hidden="1" xlm="1">#NAME?</definedName>
    <definedName name="_xlop._Square1Losange2Cercle3Cross4Plu" hidden="1" xlm="1">#NAME?</definedName>
    <definedName name="_xlop._Square1Losange2Cercle3Cross4Plus" hidden="1" xlm="1">#NAME?</definedName>
    <definedName name="_xlop._Square1Losange2Cercle3Cross4Plus5" hidden="1" xlm="1">#NAME?</definedName>
    <definedName name="_xlop.add" hidden="1" xlm="1">#NAME?</definedName>
    <definedName name="_xlop.add?" hidden="1" xlm="1">#NAME?</definedName>
    <definedName name="_xlop.AddressMoves" hidden="1" xlm="1">#NAME?</definedName>
    <definedName name="_xlop.allow_loops" hidden="1" xlm="1">#NAME?</definedName>
    <definedName name="_xlop.allowed_moves" hidden="1" xlm="1">#NAME?</definedName>
    <definedName name="_xlop.AllowMp" hidden="1" xlm="1">#NAME?</definedName>
    <definedName name="_xlop.AllowRepeatItems" hidden="1" xlm="1">#NAME?</definedName>
    <definedName name="_xlop.AlongLettersOnly" hidden="1" xlm="1">#NAME?</definedName>
    <definedName name="_xlop.AlongShift" hidden="1" xlm="1">#NAME?</definedName>
    <definedName name="_xlop.B" hidden="1" xlm="1">#NAME?</definedName>
    <definedName name="_xlop.BiDirectional" hidden="1" xlm="1">#NAME?</definedName>
    <definedName name="_xlop.blocks" hidden="1" xlm="1">#NAME?</definedName>
    <definedName name="_xlop.Bounce" hidden="1" xlm="1">#NAME?</definedName>
    <definedName name="_xlop.by" hidden="1" xlm="1">#NAME?</definedName>
    <definedName name="_xlop.ByCol" hidden="1" xlm="1">#NAME?</definedName>
    <definedName name="_xlop.byrow" hidden="1" xlm="1">#NAME?</definedName>
    <definedName name="_xlop.Case" hidden="1" xlm="1">#NAME?</definedName>
    <definedName name="_xlop.Case_Sensitive" hidden="1" xlm="1">#NAME?</definedName>
    <definedName name="_xlop.caseSens" hidden="1" xlm="1">#NAME?</definedName>
    <definedName name="_xlop.CaseSensitive" hidden="1" xlm="1">#NAME?</definedName>
    <definedName name="_xlop.clip" hidden="1" xlm="1">#NAME?</definedName>
    <definedName name="_xlop.Cols" hidden="1" xlm="1">#NAME?</definedName>
    <definedName name="_xlop.Columns" hidden="1" xlm="1">#NAME?</definedName>
    <definedName name="_xlop.ColumnShift" hidden="1" xlm="1">#NAME?</definedName>
    <definedName name="_xlop.cum" hidden="1" xlm="1">#NAME?</definedName>
    <definedName name="_xlop.Cumulative" hidden="1" xlm="1">#NAME?</definedName>
    <definedName name="_xlop.Cus_Dir" hidden="1" xlm="1">#NAME?</definedName>
    <definedName name="_xlop.Custom_Directions" hidden="1" xlm="1">#NAME?</definedName>
    <definedName name="_xlop.d" hidden="1" xlm="1">#NAME?</definedName>
    <definedName name="_xlop.data?" hidden="1" xlm="1">#NAME?</definedName>
    <definedName name="_xlop.Delimiter" hidden="1" xlm="1">#NAME?</definedName>
    <definedName name="_xlop.dist?" hidden="1" xlm="1">#NAME?</definedName>
    <definedName name="_xlop.Divider" hidden="1" xlm="1">#NAME?</definedName>
    <definedName name="_xlop.downward" hidden="1" xlm="1">#NAME?</definedName>
    <definedName name="_xlop.end_1word_2line" hidden="1" xlm="1">#NAME?</definedName>
    <definedName name="_xlop.EndQ" hidden="1" xlm="1">#NAME?</definedName>
    <definedName name="_xlop.Except" hidden="1" xlm="1">#NAME?</definedName>
    <definedName name="_xlop.Except?" hidden="1" xlm="1">#NAME?</definedName>
    <definedName name="_xlop.extreme" hidden="1" xlm="1">#NAME?</definedName>
    <definedName name="_xlop.Fill" hidden="1" xlm="1">#NAME?</definedName>
    <definedName name="_xlop.fill_with" hidden="1" xlm="1">#NAME?</definedName>
    <definedName name="_xlop.First" hidden="1" xlm="1">#NAME?</definedName>
    <definedName name="_xlop.fold?" hidden="1" xlm="1">#NAME?</definedName>
    <definedName name="_xlop.for_horizontal_vertical_2_for_horizontal_vertical_diagonal_3_for_pythagor" hidden="1" xlm="1">#NAME?</definedName>
    <definedName name="_xlop.from" hidden="1" xlm="1">#NAME?</definedName>
    <definedName name="_xlop.Function" hidden="1" xlm="1">#NAME?</definedName>
    <definedName name="_xlop.G" hidden="1" xlm="1">#NAME?</definedName>
    <definedName name="_xlop.Glide" hidden="1" xlm="1">#NAME?</definedName>
    <definedName name="_xlop.Groups" hidden="1" xlm="1">#NAME?</definedName>
    <definedName name="_xlop.h" hidden="1" xlm="1">#NAME?</definedName>
    <definedName name="_xlop.Hstk" hidden="1" xlm="1">#NAME?</definedName>
    <definedName name="_xlop.If_not_found" hidden="1" xlm="1">#NAME?</definedName>
    <definedName name="_xlop.Ignore" hidden="1" xlm="1">#NAME?</definedName>
    <definedName name="_xlop.ignore_decimals" hidden="1" xlm="1">#NAME?</definedName>
    <definedName name="_xlop.include_blanks" hidden="1" xlm="1">#NAME?</definedName>
    <definedName name="_xlop.incol" hidden="1" xlm="1">#NAME?</definedName>
    <definedName name="_xlop.Input1" hidden="1" xlm="1">#NAME?</definedName>
    <definedName name="_xlop.Items" hidden="1" xlm="1">#NAME?</definedName>
    <definedName name="_xlop.join" hidden="1" xlm="1">#NAME?</definedName>
    <definedName name="_xlop.keep_ol_vals?" hidden="1" xlm="1">#NAME?</definedName>
    <definedName name="_xlop.KeepBlanks" hidden="1" xlm="1">#NAME?</definedName>
    <definedName name="_xlop.knight" hidden="1" xlm="1">#NAME?</definedName>
    <definedName name="_xlop.LabelOrder" hidden="1" xlm="1">#NAME?</definedName>
    <definedName name="_xlop.List" hidden="1" xlm="1">#NAME?</definedName>
    <definedName name="_xlop.loc?" hidden="1" xlm="1">#NAME?</definedName>
    <definedName name="_xlop.m" hidden="1" xlm="1">#NAME?</definedName>
    <definedName name="_xlop.ma" hidden="1" xlm="1">#NAME?</definedName>
    <definedName name="_xlop.mapAct_where_ads_are_in_reality" hidden="1" xlm="1">#NAME?</definedName>
    <definedName name="_xlop.max" hidden="1" xlm="1">#NAME?</definedName>
    <definedName name="_xlop.Max_Col" hidden="1" xlm="1">#NAME?</definedName>
    <definedName name="_xlop.Max_Row" hidden="1" xlm="1">#NAME?</definedName>
    <definedName name="_xlop.MaximiseW" hidden="1" xlm="1">#NAME?</definedName>
    <definedName name="_xlop.Mazelam" hidden="1" xlm="1">#NAME?</definedName>
    <definedName name="_xlop.mi" hidden="1" xlm="1">#NAME?</definedName>
    <definedName name="_xlop.min" hidden="1" xlm="1">#NAME?</definedName>
    <definedName name="_xlop.Min_Col" hidden="1" xlm="1">#NAME?</definedName>
    <definedName name="_xlop.Min_Row" hidden="1" xlm="1">#NAME?</definedName>
    <definedName name="_xlop.mp" hidden="1" xlm="1">#NAME?</definedName>
    <definedName name="_xlop.Multiple" hidden="1" xlm="1">#NAME?</definedName>
    <definedName name="_xlop.multiply" hidden="1" xlm="1">#NAME?</definedName>
    <definedName name="_xlop.N" hidden="1" xlm="1">#NAME?</definedName>
    <definedName name="_xlop.Next" hidden="1" xlm="1">#NAME?</definedName>
    <definedName name="_xlop.no_and" hidden="1" xlm="1">#NAME?</definedName>
    <definedName name="_xlop.No_Diag" hidden="1" xlm="1">#NAME?</definedName>
    <definedName name="_xlop.no_repeat" hidden="1" xlm="1">#NAME?</definedName>
    <definedName name="_xlop.NonCaseSensitive" hidden="1" xlm="1">#NAME?</definedName>
    <definedName name="_xlop.NoTimes" hidden="1" xlm="1">#NAME?</definedName>
    <definedName name="_xlop.NoWrapAround" hidden="1" xlm="1">#NAME?</definedName>
    <definedName name="_xlop.OnlyFirst" hidden="1" xlm="1">#NAME?</definedName>
    <definedName name="_xlop.OOB" hidden="1" xlm="1">#NAME?</definedName>
    <definedName name="_xlop.Operation_1Summation_2Subtraction_3Multiplication_4Division" hidden="1" xlm="1">#NAME?</definedName>
    <definedName name="_xlop.Overlap" hidden="1" xlm="1">#NAME?</definedName>
    <definedName name="_xlop.P0C1" hidden="1" xlm="1">#NAME?</definedName>
    <definedName name="_xlop.Paths" hidden="1" xlm="1">#NAME?</definedName>
    <definedName name="_xlop.pythag" hidden="1" xlm="1">#NAME?</definedName>
    <definedName name="_xlop.R" hidden="1" xlm="1">#NAME?</definedName>
    <definedName name="_xlop.Radius" hidden="1" xlm="1">#NAME?</definedName>
    <definedName name="_xlop.RCaa_CRaa_RCad_CRad_RCda_CRda_RCdd_CRdd" hidden="1" xlm="1">#NAME?</definedName>
    <definedName name="_xlop.RemoveOrder" hidden="1" xlm="1">#NAME?</definedName>
    <definedName name="_xlop.rep" hidden="1" xlm="1">#NAME?</definedName>
    <definedName name="_xlop.repeat_array" hidden="1" xlm="1">#NAME?</definedName>
    <definedName name="_xlop.repeat_element" hidden="1" xlm="1">#NAME?</definedName>
    <definedName name="_xlop.row" hidden="1" xlm="1">#NAME?</definedName>
    <definedName name="_xlop.RowShift" hidden="1" xlm="1">#NAME?</definedName>
    <definedName name="_xlop.sanitize" hidden="1" xlm="1">#NAME?</definedName>
    <definedName name="_xlop.scan_by_column" hidden="1" xlm="1">#NAME?</definedName>
    <definedName name="_xlop.ScanByCols" hidden="1" xlm="1">#NAME?</definedName>
    <definedName name="_xlop.SearchMode" hidden="1" xlm="1">#NAME?</definedName>
    <definedName name="_xlop.Show_Steps" hidden="1" xlm="1">#NAME?</definedName>
    <definedName name="_xlop.ShowDist" hidden="1" xlm="1">#NAME?</definedName>
    <definedName name="_xlop.ShowHV" hidden="1" xlm="1">#NAME?</definedName>
    <definedName name="_xlop.ShowPath" hidden="1" xlm="1">#NAME?</definedName>
    <definedName name="_xlop.ShowRoute" hidden="1" xlm="1">#NAME?</definedName>
    <definedName name="_xlop.simple_version" hidden="1" xlm="1">#NAME?</definedName>
    <definedName name="_xlop.Smallest" hidden="1" xlm="1">#NAME?</definedName>
    <definedName name="_xlop.start_1word_2line" hidden="1" xlm="1">#NAME?</definedName>
    <definedName name="_xlop.StartQ" hidden="1" xlm="1">#NAME?</definedName>
    <definedName name="_xlop.StartRorC" hidden="1" xlm="1">#NAME?</definedName>
    <definedName name="_xlop.StartWeights" hidden="1" xlm="1">#NAME?</definedName>
    <definedName name="_xlop.step" hidden="1" xlm="1">#NAME?</definedName>
    <definedName name="_xlop.StepLimit" hidden="1" xlm="1">#NAME?</definedName>
    <definedName name="_xlop.Stop" hidden="1" xlm="1">#NAME?</definedName>
    <definedName name="_xlop.subtrack" hidden="1" xlm="1">#NAME?</definedName>
    <definedName name="_xlop.subtract" hidden="1" xlm="1">#NAME?</definedName>
    <definedName name="_xlop.SwapEvery" hidden="1" xlm="1">#NAME?</definedName>
    <definedName name="_xlop.tables?" hidden="1" xlm="1">#NAME?</definedName>
    <definedName name="_xlop.take" hidden="1" xlm="1">#NAME?</definedName>
    <definedName name="_xlop.Target" hidden="1" xlm="1">#NAME?</definedName>
    <definedName name="_xlop.targets" hidden="1" xlm="1">#NAME?</definedName>
    <definedName name="_xlop.to" hidden="1" xlm="1">#NAME?</definedName>
    <definedName name="_xlop.tokkens?" hidden="1" xlm="1">#NAME?</definedName>
    <definedName name="_xlop.type" hidden="1" xlm="1">#NAME?</definedName>
    <definedName name="_xlop.v" hidden="1" xlm="1">#NAME?</definedName>
    <definedName name="_xlop.val?" hidden="1" xlm="1">#NAME?</definedName>
    <definedName name="_xlop.ValueOrder" hidden="1" xlm="1">#NAME?</definedName>
    <definedName name="_xlop.view" hidden="1" xlm="1">#NAME?</definedName>
    <definedName name="_xlop.Weights" hidden="1" xlm="1">#NAME?</definedName>
    <definedName name="_xlop.With_Decimals" hidden="1" xlm="1">#NAME?</definedName>
    <definedName name="_xlop.WithCenter" hidden="1" xlm="1">#NAME?</definedName>
    <definedName name="_xlop.WrapAround" hidden="1" xlm="1">#NAME?</definedName>
    <definedName name="_xlop.xcept" hidden="1" xlm="1">#NAME?</definedName>
    <definedName name="_xlpm.\\CommandName" hidden="1" xlm="1">#NAME?</definedName>
    <definedName name="_xlpm.\\LambdaName" hidden="1" xlm="1">#NAME?</definedName>
    <definedName name="_xlpm._" hidden="1" xlm="1">#NAME?</definedName>
    <definedName name="_xlpm.___start" hidden="1" xlm="1">#NAME?</definedName>
    <definedName name="_xlpm.___target" hidden="1" xlm="1">#NAME?</definedName>
    <definedName name="_xlpm.__1Keep_" hidden="1" xlm="1">#NAME?</definedName>
    <definedName name="_xlpm.__App" hidden="1" xlm="1">#NAME?</definedName>
    <definedName name="_xlpm.__RECCURSION" hidden="1" xlm="1">#NAME?</definedName>
    <definedName name="_xlpm._0_1Keep_" hidden="1" xlm="1">#NAME?</definedName>
    <definedName name="_xlpm._0K_1Keep_" hidden="1" xlm="1">#NAME?</definedName>
    <definedName name="_xlpm._0Ke_1Keep_" hidden="1" xlm="1">#NAME?</definedName>
    <definedName name="_xlpm._0Kee_1Keep_" hidden="1" xlm="1">#NAME?</definedName>
    <definedName name="_xlpm._0Keep_1_" hidden="1" xlm="1">#NAME?</definedName>
    <definedName name="_xlpm._0Keep_1E_" hidden="1" xlm="1">#NAME?</definedName>
    <definedName name="_xlpm._0Keep_1eep_" hidden="1" xlm="1">#NAME?</definedName>
    <definedName name="_xlpm._0Keep_1ep_" hidden="1" xlm="1">#NAME?</definedName>
    <definedName name="_xlpm._0Keep_1Ex_" hidden="1" xlm="1">#NAME?</definedName>
    <definedName name="_xlpm._0Keep_1Exc_" hidden="1" xlm="1">#NAME?</definedName>
    <definedName name="_xlpm._0Keep_1Exce_" hidden="1" xlm="1">#NAME?</definedName>
    <definedName name="_xlpm._0Keep_1Excep_" hidden="1" xlm="1">#NAME?</definedName>
    <definedName name="_xlpm._0Keep_1Except" hidden="1" xlm="1">#NAME?</definedName>
    <definedName name="_xlpm._0Keep_1Except_" hidden="1" xlm="1">#NAME?</definedName>
    <definedName name="_xlpm._0Keep_1Keep_" hidden="1" xlm="1">#NAME?</definedName>
    <definedName name="_xlpm._0Keep_1p_" hidden="1" xlm="1">#NAME?</definedName>
    <definedName name="_xlpm._0Keep_Keep_" hidden="1" xlm="1">#NAME?</definedName>
    <definedName name="_xlpm._1" hidden="1" xlm="1">#NAME?</definedName>
    <definedName name="_xlpm._1_for_up_down_2_for_left_right" hidden="1" xlm="1">#NAME?</definedName>
    <definedName name="_xlpm._1K" hidden="1" xlm="1">#NAME?</definedName>
    <definedName name="_xlpm._1Ke" hidden="1" xlm="1">#NAME?</definedName>
    <definedName name="_xlpm._1Kee" hidden="1" xlm="1">#NAME?</definedName>
    <definedName name="_xlpm._1Keep" hidden="1" xlm="1">#NAME?</definedName>
    <definedName name="_xlpm._1Keep_" hidden="1" xlm="1">#NAME?</definedName>
    <definedName name="_xlpm._Add" hidden="1" xlm="1">#NAME?</definedName>
    <definedName name="_xlpm._Add?" hidden="1" xlm="1">#NAME?</definedName>
    <definedName name="_xlpm._Add?_2" hidden="1" xlm="1">#NAME?</definedName>
    <definedName name="_xlpm._Add_2" hidden="1" xlm="1">#NAME?</definedName>
    <definedName name="_xlpm._Addresse" hidden="1" xlm="1">#NAME?</definedName>
    <definedName name="_xlpm._application" hidden="1" xlm="1">#NAME?</definedName>
    <definedName name="_xlpm._Ar" hidden="1" xlm="1">#NAME?</definedName>
    <definedName name="_xlpm._Array" hidden="1" xlm="1">#NAME?</definedName>
    <definedName name="_xlpm._atDist" hidden="1" xlm="1">#NAME?</definedName>
    <definedName name="_xlpm._BaseForm" hidden="1" xlm="1">#NAME?</definedName>
    <definedName name="_xlpm._BFFrom" hidden="1" xlm="1">#NAME?</definedName>
    <definedName name="_xlpm._Bishop" hidden="1" xlm="1">#NAME?</definedName>
    <definedName name="_xlpm._by" hidden="1" xlm="1">#NAME?</definedName>
    <definedName name="_xlpm._C" hidden="1" xlm="1">#NAME?</definedName>
    <definedName name="_xlpm._c1" hidden="1" xlm="1">#NAME?</definedName>
    <definedName name="_xlpm._c2" hidden="1" xlm="1">#NAME?</definedName>
    <definedName name="_xlpm._Cd" hidden="1" xlm="1">#NAME?</definedName>
    <definedName name="_xlpm._Cell" hidden="1" xlm="1">#NAME?</definedName>
    <definedName name="_xlpm._chars" hidden="1" xlm="1">#NAME?</definedName>
    <definedName name="_xlpm._City1" hidden="1" xlm="1">#NAME?</definedName>
    <definedName name="_xlpm._City2" hidden="1" xlm="1">#NAME?</definedName>
    <definedName name="_xlpm._Cl" hidden="1" xlm="1">#NAME?</definedName>
    <definedName name="_xlpm._Cls" hidden="1" xlm="1">#NAME?</definedName>
    <definedName name="_xlpm._Clsq" hidden="1" xlm="1">#NAME?</definedName>
    <definedName name="_xlpm._Col" hidden="1" xlm="1">#NAME?</definedName>
    <definedName name="_xlpm._Cu" hidden="1" xlm="1">#NAME?</definedName>
    <definedName name="_xlpm._d" hidden="1" xlm="1">#NAME?</definedName>
    <definedName name="_xlpm._Data" hidden="1" xlm="1">#NAME?</definedName>
    <definedName name="_xlpm._DataTakken" hidden="1" xlm="1">#NAME?</definedName>
    <definedName name="_xlpm._Dc" hidden="1" xlm="1">#NAME?</definedName>
    <definedName name="_xlpm._Diag" hidden="1" xlm="1">#NAME?</definedName>
    <definedName name="_xlpm._Diag1_NoDiag2_Pythag3_Losange4" hidden="1" xlm="1">#NAME?</definedName>
    <definedName name="_xlpm._Dist" hidden="1" xlm="1">#NAME?</definedName>
    <definedName name="_xlpm._Dist?" hidden="1" xlm="1">#NAME?</definedName>
    <definedName name="_xlpm._Dist?_2" hidden="1" xlm="1">#NAME?</definedName>
    <definedName name="_xlpm._Dista" hidden="1" xlm="1">#NAME?</definedName>
    <definedName name="_xlpm._Dr" hidden="1" xlm="1">#NAME?</definedName>
    <definedName name="_xlpm._Eadd" hidden="1" xlm="1">#NAME?</definedName>
    <definedName name="_xlpm._Edist" hidden="1" xlm="1">#NAME?</definedName>
    <definedName name="_xlpm._Eval" hidden="1" xlm="1">#NAME?</definedName>
    <definedName name="_xlpm._Fadd" hidden="1" xlm="1">#NAME?</definedName>
    <definedName name="_xlpm._Fdist" hidden="1" xlm="1">#NAME?</definedName>
    <definedName name="_xlpm._Ffrom" hidden="1" xlm="1">#NAME?</definedName>
    <definedName name="_xlpm._fill" hidden="1" xlm="1">#NAME?</definedName>
    <definedName name="_xlpm._FirstPart" hidden="1" xlm="1">#NAME?</definedName>
    <definedName name="_xlpm._Flag" hidden="1" xlm="1">#NAME?</definedName>
    <definedName name="_xlpm._FlateRows" hidden="1" xlm="1">#NAME?</definedName>
    <definedName name="_xlpm._FlattenData" hidden="1" xlm="1">#NAME?</definedName>
    <definedName name="_xlpm._ForHvd2ForHv3ForPyth" hidden="1" xlm="1">#NAME?</definedName>
    <definedName name="_xlpm._From" hidden="1" xlm="1">#NAME?</definedName>
    <definedName name="_xlpm._Fto" hidden="1" xlm="1">#NAME?</definedName>
    <definedName name="_xlpm._Func" hidden="1" xlm="1">#NAME?</definedName>
    <definedName name="_xlpm._Fval" hidden="1" xlm="1">#NAME?</definedName>
    <definedName name="_xlpm._groups" hidden="1" xlm="1">#NAME?</definedName>
    <definedName name="_xlpm._h" hidden="1" xlm="1">#NAME?</definedName>
    <definedName name="_xlpm._head" hidden="1" xlm="1">#NAME?</definedName>
    <definedName name="_xlpm._King" hidden="1" xlm="1">#NAME?</definedName>
    <definedName name="_xlpm._King_2" hidden="1" xlm="1">#NAME?</definedName>
    <definedName name="_xlpm._Knight" hidden="1" xlm="1">#NAME?</definedName>
    <definedName name="_xlpm._Length" hidden="1" xlm="1">#NAME?</definedName>
    <definedName name="_xlpm._Loc?" hidden="1" xlm="1">#NAME?</definedName>
    <definedName name="_xlpm._Locd" hidden="1" xlm="1">#NAME?</definedName>
    <definedName name="_xlpm._Locu" hidden="1" xlm="1">#NAME?</definedName>
    <definedName name="_xlpm._LongLarg" hidden="1" xlm="1">#NAME?</definedName>
    <definedName name="_xlpm._M" hidden="1" xlm="1">#NAME?</definedName>
    <definedName name="_xlpm._Mac" hidden="1" xlm="1">#NAME?</definedName>
    <definedName name="_xlpm._Map" hidden="1" xlm="1">#NAME?</definedName>
    <definedName name="_xlpm._Mar" hidden="1" xlm="1">#NAME?</definedName>
    <definedName name="_xlpm._Maxc" hidden="1" xlm="1">#NAME?</definedName>
    <definedName name="_xlpm._Maxr" hidden="1" xlm="1">#NAME?</definedName>
    <definedName name="_xlpm._ME" hidden="1" xlm="1">#NAME?</definedName>
    <definedName name="_xlpm._mi" hidden="1" xlm="1">#NAME?</definedName>
    <definedName name="_xlpm._min" hidden="1" xlm="1">#NAME?</definedName>
    <definedName name="_xlpm._Minc" hidden="1" xlm="1">#NAME?</definedName>
    <definedName name="_xlpm._Minr" hidden="1" xlm="1">#NAME?</definedName>
    <definedName name="_xlpm._mp" hidden="1" xlm="1">#NAME?</definedName>
    <definedName name="_xlpm._Mres" hidden="1" xlm="1">#NAME?</definedName>
    <definedName name="_xlpm._MvtsCols" hidden="1" xlm="1">#NAME?</definedName>
    <definedName name="_xlpm._MvtsRw" hidden="1" xlm="1">#NAME?</definedName>
    <definedName name="_xlpm._Mxrc" hidden="1" xlm="1">#NAME?</definedName>
    <definedName name="_xlpm._n" hidden="1" xlm="1">#NAME?</definedName>
    <definedName name="_xlpm._Nodiag" hidden="1" xlm="1">#NAME?</definedName>
    <definedName name="_xlpm._NoRepeatVal" hidden="1" xlm="1">#NAME?</definedName>
    <definedName name="_xlpm._Nums" hidden="1" xlm="1">#NAME?</definedName>
    <definedName name="_xlpm._out" hidden="1" xlm="1">#NAME?</definedName>
    <definedName name="_xlpm._out1" hidden="1" xlm="1">#NAME?</definedName>
    <definedName name="_xlpm._out2" hidden="1" xlm="1">#NAME?</definedName>
    <definedName name="_xlpm._P" hidden="1" xlm="1">#NAME?</definedName>
    <definedName name="_xlpm._PawBlack" hidden="1" xlm="1">#NAME?</definedName>
    <definedName name="_xlpm._PawWhite" hidden="1" xlm="1">#NAME?</definedName>
    <definedName name="_xlpm._Piece" hidden="1" xlm="1">#NAME?</definedName>
    <definedName name="_xlpm._Pl" hidden="1" xlm="1">#NAME?</definedName>
    <definedName name="_xlpm._Pytha" hidden="1" xlm="1">#NAME?</definedName>
    <definedName name="_xlpm._Queen" hidden="1" xlm="1">#NAME?</definedName>
    <definedName name="_xlpm._R" hidden="1" xlm="1">#NAME?</definedName>
    <definedName name="_xlpm._Radius" hidden="1" xlm="1">#NAME?</definedName>
    <definedName name="_xlpm._RCls" hidden="1" xlm="1">#NAME?</definedName>
    <definedName name="_xlpm._Rd" hidden="1" xlm="1">#NAME?</definedName>
    <definedName name="_xlpm._Re" hidden="1" xlm="1">#NAME?</definedName>
    <definedName name="_xlpm._Rec" hidden="1" xlm="1">#NAME?</definedName>
    <definedName name="_xlpm._Ref" hidden="1" xlm="1">#NAME?</definedName>
    <definedName name="_xlpm._Res" hidden="1" xlm="1">#NAME?</definedName>
    <definedName name="_xlpm._ResA" hidden="1" xlm="1">#NAME?</definedName>
    <definedName name="_xlpm._ResAd" hidden="1" xlm="1">#NAME?</definedName>
    <definedName name="_xlpm._ResAdd" hidden="1" xlm="1">#NAME?</definedName>
    <definedName name="_xlpm._ResAl" hidden="1" xlm="1">#NAME?</definedName>
    <definedName name="_xlpm._ResAll" hidden="1" xlm="1">#NAME?</definedName>
    <definedName name="_xlpm._ResAllo" hidden="1" xlm="1">#NAME?</definedName>
    <definedName name="_xlpm._ResAllow" hidden="1" xlm="1">#NAME?</definedName>
    <definedName name="_xlpm._ResD" hidden="1" xlm="1">#NAME?</definedName>
    <definedName name="_xlpm._ResDi" hidden="1" xlm="1">#NAME?</definedName>
    <definedName name="_xlpm._ResDis" hidden="1" xlm="1">#NAME?</definedName>
    <definedName name="_xlpm._ResDist" hidden="1" xlm="1">#NAME?</definedName>
    <definedName name="_xlpm._Result" hidden="1" xlm="1">#NAME?</definedName>
    <definedName name="_xlpm._Result_2" hidden="1" xlm="1">#NAME?</definedName>
    <definedName name="_xlpm._RevArr" hidden="1" xlm="1">#NAME?</definedName>
    <definedName name="_xlpm._Rfrom" hidden="1" xlm="1">#NAME?</definedName>
    <definedName name="_xlpm._Rook" hidden="1" xlm="1">#NAME?</definedName>
    <definedName name="_xlpm._Row" hidden="1" xlm="1">#NAME?</definedName>
    <definedName name="_xlpm._Rows" hidden="1" xlm="1">#NAME?</definedName>
    <definedName name="_xlpm._Rradius" hidden="1" xlm="1">#NAME?</definedName>
    <definedName name="_xlpm._RRws" hidden="1" xlm="1">#NAME?</definedName>
    <definedName name="_xlpm._Rsaddd" hidden="1" xlm="1">#NAME?</definedName>
    <definedName name="_xlpm._Rsaddu" hidden="1" xlm="1">#NAME?</definedName>
    <definedName name="_xlpm._Rsaddv" hidden="1" xlm="1">#NAME?</definedName>
    <definedName name="_xlpm._Rsaddv_2" hidden="1" xlm="1">#NAME?</definedName>
    <definedName name="_xlpm._Rsvald" hidden="1" xlm="1">#NAME?</definedName>
    <definedName name="_xlpm._Rsvalu" hidden="1" xlm="1">#NAME?</definedName>
    <definedName name="_xlpm._Rsvalv" hidden="1" xlm="1">#NAME?</definedName>
    <definedName name="_xlpm._Rto" hidden="1" xlm="1">#NAME?</definedName>
    <definedName name="_xlpm._Ru" hidden="1" xlm="1">#NAME?</definedName>
    <definedName name="_xlpm._Rw" hidden="1" xlm="1">#NAME?</definedName>
    <definedName name="_xlpm._Rw_2" hidden="1" xlm="1">#NAME?</definedName>
    <definedName name="_xlpm._Rws" hidden="1" xlm="1">#NAME?</definedName>
    <definedName name="_xlpm._Rwsq" hidden="1" xlm="1">#NAME?</definedName>
    <definedName name="_xlpm._SCity" hidden="1" xlm="1">#NAME?</definedName>
    <definedName name="_xlpm._SDist" hidden="1" xlm="1">#NAME?</definedName>
    <definedName name="_xlpm._SecondPart" hidden="1" xlm="1">#NAME?</definedName>
    <definedName name="_xlpm._Seq" hidden="1" xlm="1">#NAME?</definedName>
    <definedName name="_xlpm._SortCities" hidden="1" xlm="1">#NAME?</definedName>
    <definedName name="_xlpm._sq" hidden="1" xlm="1">#NAME?</definedName>
    <definedName name="_xlpm._sq1" hidden="1" xlm="1">#NAME?</definedName>
    <definedName name="_xlpm._sq2" hidden="1" xlm="1">#NAME?</definedName>
    <definedName name="_xlpm._Square1Losange2Cercle3" hidden="1" xlm="1">#NAME?</definedName>
    <definedName name="_xlpm._Square1Losange2Cercle3C" hidden="1" xlm="1">#NAME?</definedName>
    <definedName name="_xlpm._Square1Losange2Cercle3Cr" hidden="1" xlm="1">#NAME?</definedName>
    <definedName name="_xlpm._Square1Losange2Cercle3Cro" hidden="1" xlm="1">#NAME?</definedName>
    <definedName name="_xlpm._Square1Losange2Cercle3Cros" hidden="1" xlm="1">#NAME?</definedName>
    <definedName name="_xlpm._Square1Losange2Cercle3Cross" hidden="1" xlm="1">#NAME?</definedName>
    <definedName name="_xlpm._Square1Losange2Cercle3Cross4" hidden="1" xlm="1">#NAME?</definedName>
    <definedName name="_xlpm._Square1Losange2Cercle3Cross4P" hidden="1" xlm="1">#NAME?</definedName>
    <definedName name="_xlpm._Square1Losange2Cercle3Cross4Pl" hidden="1" xlm="1">#NAME?</definedName>
    <definedName name="_xlpm._Square1Losange2Cercle3Cross4Plu" hidden="1" xlm="1">#NAME?</definedName>
    <definedName name="_xlpm._Square1Losange2Cercle3Cross4Plus" hidden="1" xlm="1">#NAME?</definedName>
    <definedName name="_xlpm._Square1Losange2Cercle3Cross4Plus5" hidden="1" xlm="1">#NAME?</definedName>
    <definedName name="_xlpm._Start" hidden="1" xlm="1">#NAME?</definedName>
    <definedName name="_xlpm._Start_2" hidden="1" xlm="1">#NAME?</definedName>
    <definedName name="_xlpm._StartSaved" hidden="1" xlm="1">#NAME?</definedName>
    <definedName name="_xlpm._StartVisited" hidden="1" xlm="1">#NAME?</definedName>
    <definedName name="_xlpm._StartVisitedCity" hidden="1" xlm="1">#NAME?</definedName>
    <definedName name="_xlpm._stDis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12" hidden="1" xlm="1">#NAME?</definedName>
    <definedName name="_xlpm._Step13" hidden="1" xlm="1">#NAME?</definedName>
    <definedName name="_xlpm._Step14" hidden="1" xlm="1">#NAME?</definedName>
    <definedName name="_xlpm._Step15" hidden="1" xlm="1">#NAME?</definedName>
    <definedName name="_xlpm._Step16" hidden="1" xlm="1">#NAME?</definedName>
    <definedName name="_xlpm._Step17" hidden="1" xlm="1">#NAME?</definedName>
    <definedName name="_xlpm._Step18" hidden="1" xlm="1">#NAME?</definedName>
    <definedName name="_xlpm._Step19" hidden="1" xlm="1">#NAME?</definedName>
    <definedName name="_xlpm._Step2" hidden="1" xlm="1">#NAME?</definedName>
    <definedName name="_xlpm._Step20" hidden="1" xlm="1">#NAME?</definedName>
    <definedName name="_xlpm._Step21" hidden="1" xlm="1">#NAME?</definedName>
    <definedName name="_xlpm._Step22" hidden="1" xlm="1">#NAME?</definedName>
    <definedName name="_xlpm._Step23" hidden="1" xlm="1">#NAME?</definedName>
    <definedName name="_xlpm._Step23_1" hidden="1" xlm="1">#NAME?</definedName>
    <definedName name="_xlpm._Step24" hidden="1" xlm="1">#NAME?</definedName>
    <definedName name="_xlpm._Step25" hidden="1" xlm="1">#NAME?</definedName>
    <definedName name="_xlpm._Step27" hidden="1" xlm="1">#NAME?</definedName>
    <definedName name="_xlpm._Step28" hidden="1" xlm="1">#NAME?</definedName>
    <definedName name="_xlpm._Step29" hidden="1" xlm="1">#NAME?</definedName>
    <definedName name="_xlpm._Step3" hidden="1" xlm="1">#NAME?</definedName>
    <definedName name="_xlpm._Step30" hidden="1" xlm="1">#NAME?</definedName>
    <definedName name="_xlpm._Step33" hidden="1" xlm="1">#NAME?</definedName>
    <definedName name="_xlpm._Step34" hidden="1" xlm="1">#NAME?</definedName>
    <definedName name="_xlpm._Step35" hidden="1" xlm="1">#NAME?</definedName>
    <definedName name="_xlpm._Step36" hidden="1" xlm="1">#NAME?</definedName>
    <definedName name="_xlpm._Step37" hidden="1" xlm="1">#NAME?</definedName>
    <definedName name="_xlpm._Step38" hidden="1" xlm="1">#NAME?</definedName>
    <definedName name="_xlpm._Step39" hidden="1" xlm="1">#NAME?</definedName>
    <definedName name="_xlpm._Step4" hidden="1" xlm="1">#NAME?</definedName>
    <definedName name="_xlpm._Step40" hidden="1" xlm="1">#NAME?</definedName>
    <definedName name="_xlpm._Step41" hidden="1" xlm="1">#NAME?</definedName>
    <definedName name="_xlpm._Step46" hidden="1" xlm="1">#NAME?</definedName>
    <definedName name="_xlpm._Step47" hidden="1" xlm="1">#NAME?</definedName>
    <definedName name="_xlpm._Step48" hidden="1" xlm="1">#NAME?</definedName>
    <definedName name="_xlpm._Step49" hidden="1" xlm="1">#NAME?</definedName>
    <definedName name="_xlpm._Step5" hidden="1" xlm="1">#NAME?</definedName>
    <definedName name="_xlpm._Step50" hidden="1" xlm="1">#NAME?</definedName>
    <definedName name="_xlpm._Step51" hidden="1" xlm="1">#NAME?</definedName>
    <definedName name="_xlpm._Step52" hidden="1" xlm="1">#NAME?</definedName>
    <definedName name="_xlpm._Step53" hidden="1" xlm="1">#NAME?</definedName>
    <definedName name="_xlpm._Step54" hidden="1" xlm="1">#NAME?</definedName>
    <definedName name="_xlpm._Step55" hidden="1" xlm="1">#NAME?</definedName>
    <definedName name="_xlpm._Step56" hidden="1" xlm="1">#NAME?</definedName>
    <definedName name="_xlpm._Step57" hidden="1" xlm="1">#NAME?</definedName>
    <definedName name="_xlpm._Step58" hidden="1" xlm="1">#NAME?</definedName>
    <definedName name="_xlpm._Step59" hidden="1" xlm="1">#NAME?</definedName>
    <definedName name="_xlpm._Step6" hidden="1" xlm="1">#NAME?</definedName>
    <definedName name="_xlpm._Step60" hidden="1" xlm="1">#NAME?</definedName>
    <definedName name="_xlpm._Step61" hidden="1" xlm="1">#NAME?</definedName>
    <definedName name="_xlpm._Step62" hidden="1" xlm="1">#NAME?</definedName>
    <definedName name="_xlpm._Step63" hidden="1" xlm="1">#NAME?</definedName>
    <definedName name="_xlpm._Step64" hidden="1" xlm="1">#NAME?</definedName>
    <definedName name="_xlpm._Step65" hidden="1" xlm="1">#NAME?</definedName>
    <definedName name="_xlpm._Step66" hidden="1" xlm="1">#NAME?</definedName>
    <definedName name="_xlpm._Step67" hidden="1" xlm="1">#NAME?</definedName>
    <definedName name="_xlpm._Step68" hidden="1" xlm="1">#NAME?</definedName>
    <definedName name="_xlpm._Step69" hidden="1" xlm="1">#NAME?</definedName>
    <definedName name="_xlpm._Step7" hidden="1" xlm="1">#NAME?</definedName>
    <definedName name="_xlpm._Step70" hidden="1" xlm="1">#NAME?</definedName>
    <definedName name="_xlpm._Step71" hidden="1" xlm="1">#NAME?</definedName>
    <definedName name="_xlpm._Step72" hidden="1" xlm="1">#NAME?</definedName>
    <definedName name="_xlpm._Step73" hidden="1" xlm="1">#NAME?</definedName>
    <definedName name="_xlpm._Step74" hidden="1" xlm="1">#NAME?</definedName>
    <definedName name="_xlpm._Step75" hidden="1" xlm="1">#NAME?</definedName>
    <definedName name="_xlpm._Step76" hidden="1" xlm="1">#NAME?</definedName>
    <definedName name="_xlpm._Step77" hidden="1" xlm="1">#NAME?</definedName>
    <definedName name="_xlpm._Step8" hidden="1" xlm="1">#NAME?</definedName>
    <definedName name="_xlpm._Step9" hidden="1" xlm="1">#NAME?</definedName>
    <definedName name="_xlpm._T" hidden="1" xlm="1">#NAME?</definedName>
    <definedName name="_xlpm._TCls" hidden="1" xlm="1">#NAME?</definedName>
    <definedName name="_xlpm._tD" hidden="1" xlm="1">#NAME?</definedName>
    <definedName name="_xlpm._tDi" hidden="1" xlm="1">#NAME?</definedName>
    <definedName name="_xlpm._tDis" hidden="1" xlm="1">#NAME?</definedName>
    <definedName name="_xlpm._tDist" hidden="1" xlm="1">#NAME?</definedName>
    <definedName name="_xlpm._Test" hidden="1" xlm="1">#NAME?</definedName>
    <definedName name="_xlpm._To" hidden="1" xlm="1">#NAME?</definedName>
    <definedName name="_xlpm._TRws" hidden="1" xlm="1">#NAME?</definedName>
    <definedName name="_xlpm._Ty" hidden="1" xlm="1">#NAME?</definedName>
    <definedName name="_xlpm._Typ" hidden="1" xlm="1">#NAME?</definedName>
    <definedName name="_xlpm._Type" hidden="1" xlm="1">#NAME?</definedName>
    <definedName name="_xlpm._Type1" hidden="1" xlm="1">#NAME?</definedName>
    <definedName name="_xlpm._Type12" hidden="1" xlm="1">#NAME?</definedName>
    <definedName name="_xlpm._Type123" hidden="1" xlm="1">#NAME?</definedName>
    <definedName name="_xlpm._u" hidden="1" xlm="1">#NAME?</definedName>
    <definedName name="_xlpm._UniqueCities" hidden="1" xlm="1">#NAME?</definedName>
    <definedName name="_xlpm._v" hidden="1" xlm="1">#NAME?</definedName>
    <definedName name="_xlpm._Val" hidden="1" xlm="1">#NAME?</definedName>
    <definedName name="_xlpm._Val?" hidden="1" xlm="1">#NAME?</definedName>
    <definedName name="_xlpm._Val?_2" hidden="1" xlm="1">#NAME?</definedName>
    <definedName name="_xlpm._Valid" hidden="1" xlm="1">#NAME?</definedName>
    <definedName name="_xlpm._Values" hidden="1" xlm="1">#NAME?</definedName>
    <definedName name="_xlpm._View" hidden="1" xlm="1">#NAME?</definedName>
    <definedName name="_xlpm._View_2" hidden="1" xlm="1">#NAME?</definedName>
    <definedName name="_xlpm._WithCenter" hidden="1" xlm="1">#NAME?</definedName>
    <definedName name="_xlpm._x" hidden="1" xlm="1">#NAME?</definedName>
    <definedName name="_xlpm.a" hidden="1" xlm="1">#NAME?</definedName>
    <definedName name="_xlpm.aa" hidden="1" xlm="1">#NAME?</definedName>
    <definedName name="_xlpm.abso" hidden="1" xlm="1">#NAME?</definedName>
    <definedName name="_xlpm.ac" hidden="1" xlm="1">#NAME?</definedName>
    <definedName name="_xlpm.acc" hidden="1" xlm="1">#NAME?</definedName>
    <definedName name="_xlpm.accumulator_stack" hidden="1" xlm="1">#NAME?</definedName>
    <definedName name="_xlpm.acu" hidden="1" xlm="1">#NAME?</definedName>
    <definedName name="_xlpm.Ad" hidden="1" xlm="1">#NAME?</definedName>
    <definedName name="_xlpm.adc" hidden="1" xlm="1">#NAME?</definedName>
    <definedName name="_xlpm.add" hidden="1" xlm="1">#NAME?</definedName>
    <definedName name="_xlpm.add?" hidden="1" xlm="1">#NAME?</definedName>
    <definedName name="_xlpm.addednums" hidden="1" xlm="1">#NAME?</definedName>
    <definedName name="_xlpm.address" hidden="1" xlm="1">#NAME?</definedName>
    <definedName name="_xlpm.addresses" hidden="1" xlm="1">#NAME?</definedName>
    <definedName name="_xlpm.AddressMoves" hidden="1" xlm="1">#NAME?</definedName>
    <definedName name="_xlpm.AdMp" hidden="1" xlm="1">#NAME?</definedName>
    <definedName name="_xlpm.AdMref" hidden="1" xlm="1">#NAME?</definedName>
    <definedName name="_xlpm.adr" hidden="1" xlm="1">#NAME?</definedName>
    <definedName name="_xlpm.adresse" hidden="1" xlm="1">#NAME?</definedName>
    <definedName name="_xlpm.ads" hidden="1" xlm="1">#NAME?</definedName>
    <definedName name="_xlpm.adToRCRef" hidden="1" xlm="1">#NAME?</definedName>
    <definedName name="_xlpm.aInput1" hidden="1" xlm="1">#NAME?</definedName>
    <definedName name="_xlpm.al" hidden="1" xlm="1">#NAME?</definedName>
    <definedName name="_xlpm.allow_loops" hidden="1" xlm="1">#NAME?</definedName>
    <definedName name="_xlpm.allowed_moves" hidden="1" xlm="1">#NAME?</definedName>
    <definedName name="_xlpm.AllowMp" hidden="1" xlm="1">#NAME?</definedName>
    <definedName name="_xlpm.AllowRepeatItems" hidden="1" xlm="1">#NAME?</definedName>
    <definedName name="_xlpm.AlongLettersOnly" hidden="1" xlm="1">#NAME?</definedName>
    <definedName name="_xlpm.AlongShift" hidden="1" xlm="1">#NAME?</definedName>
    <definedName name="_xlpm.als" hidden="1" xlm="1">#NAME?</definedName>
    <definedName name="_xlpm.Amoves" hidden="1" xlm="1">#NAME?</definedName>
    <definedName name="_xlpm.ar" hidden="1" xlm="1">#NAME?</definedName>
    <definedName name="_xlpm.arInput1" hidden="1" xlm="1">#NAME?</definedName>
    <definedName name="_xlpm.arr" hidden="1" xlm="1">#NAME?</definedName>
    <definedName name="_xlpm.arraInput1" hidden="1" xlm="1">#NAME?</definedName>
    <definedName name="_xlpm.array" hidden="1" xlm="1">#NAME?</definedName>
    <definedName name="_xlpm.array_size" hidden="1" xlm="1">#NAME?</definedName>
    <definedName name="_xlpm.arrayInput1" hidden="1" xlm="1">#NAME?</definedName>
    <definedName name="_xlpm.arrInput1" hidden="1" xlm="1">#NAME?</definedName>
    <definedName name="_xlpm.Arrow" hidden="1" xlm="1">#NAME?</definedName>
    <definedName name="_xlpm.au" hidden="1" xlm="1">#NAME?</definedName>
    <definedName name="_xlpm.b" hidden="1" xlm="1">#NAME?</definedName>
    <definedName name="_xlpm.base" hidden="1" xlm="1">#NAME?</definedName>
    <definedName name="_xlpm.bb" hidden="1" xlm="1">#NAME?</definedName>
    <definedName name="_xlpm.bc" hidden="1" xlm="1">#NAME?</definedName>
    <definedName name="_xlpm.beforeJoined" hidden="1" xlm="1">#NAME?</definedName>
    <definedName name="_xlpm.BiDirectional" hidden="1" xlm="1">#NAME?</definedName>
    <definedName name="_xlpm.blc" hidden="1" xlm="1">#NAME?</definedName>
    <definedName name="_xlpm.blitm" hidden="1" xlm="1">#NAME?</definedName>
    <definedName name="_xlpm.blocker" hidden="1" xlm="1">#NAME?</definedName>
    <definedName name="_xlpm.blockers" hidden="1" xlm="1">#NAME?</definedName>
    <definedName name="_xlpm.blocks" hidden="1" xlm="1">#NAME?</definedName>
    <definedName name="_xlpm.Blocs" hidden="1" xlm="1">#NAME?</definedName>
    <definedName name="_xlpm.bn" hidden="1" xlm="1">#NAME?</definedName>
    <definedName name="_xlpm.Bounce" hidden="1" xlm="1">#NAME?</definedName>
    <definedName name="_xlpm.br" hidden="1" xlm="1">#NAME?</definedName>
    <definedName name="_xlpm.bu" hidden="1" xlm="1">#NAME?</definedName>
    <definedName name="_xlpm.by" hidden="1" xlm="1">#NAME?</definedName>
    <definedName name="_xlpm.ByCol" hidden="1" xlm="1">#NAME?</definedName>
    <definedName name="_xlpm.byrow" hidden="1" xlm="1">#NAME?</definedName>
    <definedName name="_xlpm.c" hidden="1" xlm="1">#NAME?</definedName>
    <definedName name="_xlpm.ca" hidden="1" xlm="1">#NAME?</definedName>
    <definedName name="_xlpm.calculation_lambda" hidden="1" xlm="1">#NAME?</definedName>
    <definedName name="_xlpm.cardnums" hidden="1" xlm="1">#NAME?</definedName>
    <definedName name="_xlpm.cards" hidden="1" xlm="1">#NAME?</definedName>
    <definedName name="_xlpm.cardsinorder" hidden="1" xlm="1">#NAME?</definedName>
    <definedName name="_xlpm.cardspresent" hidden="1" xlm="1">#NAME?</definedName>
    <definedName name="_xlpm.cardsuits" hidden="1" xlm="1">#NAME?</definedName>
    <definedName name="_xlpm.cardvals" hidden="1" xlm="1">#NAME?</definedName>
    <definedName name="_xlpm.carryfwd" hidden="1" xlm="1">#NAME?</definedName>
    <definedName name="_xlpm.Case" hidden="1" xlm="1">#NAME?</definedName>
    <definedName name="_xlpm.Case_Sensitive" hidden="1" xlm="1">#NAME?</definedName>
    <definedName name="_xlpm.caseSens" hidden="1" xlm="1">#NAME?</definedName>
    <definedName name="_xlpm.CaseSensitive" hidden="1" xlm="1">#NAME?</definedName>
    <definedName name="_xlpm.cb" hidden="1" xlm="1">#NAME?</definedName>
    <definedName name="_xlpm.cd" hidden="1" xlm="1">#NAME?</definedName>
    <definedName name="_xlpm.cell" hidden="1" xlm="1">#NAME?</definedName>
    <definedName name="_xlpm.cell_ref" hidden="1" xlm="1">#NAME?</definedName>
    <definedName name="_xlpm.cellAddress" hidden="1" xlm="1">#NAME?</definedName>
    <definedName name="_xlpm.celladdresses" hidden="1" xlm="1">#NAME?</definedName>
    <definedName name="_xlpm.cellArray" hidden="1" xlm="1">#NAME?</definedName>
    <definedName name="_xlpm.Cells" hidden="1" xlm="1">#NAME?</definedName>
    <definedName name="_xlpm.cf" hidden="1" xlm="1">#NAME?</definedName>
    <definedName name="_xlpm.cfc" hidden="1" xlm="1">#NAME?</definedName>
    <definedName name="_xlpm.char" hidden="1" xlm="1">#NAME?</definedName>
    <definedName name="_xlpm.character_sequence" hidden="1" xlm="1">#NAME?</definedName>
    <definedName name="_xlpm.character_to_be_replaced" hidden="1" xlm="1">#NAME?</definedName>
    <definedName name="_xlpm.Cities" hidden="1" xlm="1">#NAME?</definedName>
    <definedName name="_xlpm.City" hidden="1" xlm="1">#NAME?</definedName>
    <definedName name="_xlpm.ck" hidden="1" xlm="1">#NAME?</definedName>
    <definedName name="_xlpm.Cl" hidden="1" xlm="1">#NAME?</definedName>
    <definedName name="_xlpm.cleantable" hidden="1" xlm="1">#NAME?</definedName>
    <definedName name="_xlpm.clf" hidden="1" xlm="1">#NAME?</definedName>
    <definedName name="_xlpm.clip" hidden="1" xlm="1">#NAME?</definedName>
    <definedName name="_xlpm.clippedCol" hidden="1" xlm="1">#NAME?</definedName>
    <definedName name="_xlpm.clippedRow" hidden="1" xlm="1">#NAME?</definedName>
    <definedName name="_xlpm.clipValue" hidden="1" xlm="1">#NAME?</definedName>
    <definedName name="_xlpm.cls" hidden="1" xlm="1">#NAME?</definedName>
    <definedName name="_xlpm.clt" hidden="1" xlm="1">#NAME?</definedName>
    <definedName name="_xlpm.cm" hidden="1" xlm="1">#NAME?</definedName>
    <definedName name="_xlpm.cmp" hidden="1" xlm="1">#NAME?</definedName>
    <definedName name="_xlpm.cn" hidden="1" xlm="1">#NAME?</definedName>
    <definedName name="_xlpm.cnd" hidden="1" xlm="1">#NAME?</definedName>
    <definedName name="_xlpm.cnt" hidden="1" xlm="1">#NAME?</definedName>
    <definedName name="_xlpm.co" hidden="1" xlm="1">#NAME?</definedName>
    <definedName name="_xlpm.col" hidden="1" xlm="1">#NAME?</definedName>
    <definedName name="_xlpm.col_acc" hidden="1" xlm="1">#NAME?</definedName>
    <definedName name="_xlpm.col_idx" hidden="1" xlm="1">#NAME?</definedName>
    <definedName name="_xlpm.col_indices" hidden="1" xlm="1">#NAME?</definedName>
    <definedName name="_xlpm.col_result" hidden="1" xlm="1">#NAME?</definedName>
    <definedName name="_xlpm.ColEnd" hidden="1" xlm="1">#NAME?</definedName>
    <definedName name="_xlpm.colNumber" hidden="1" xlm="1">#NAME?</definedName>
    <definedName name="_xlpm.cols" hidden="1" xlm="1">#NAME?</definedName>
    <definedName name="_xlpm.ColStart" hidden="1" xlm="1">#NAME?</definedName>
    <definedName name="_xlpm.Columnitem" hidden="1" xlm="1">#NAME?</definedName>
    <definedName name="_xlpm.Columns" hidden="1" xlm="1">#NAME?</definedName>
    <definedName name="_xlpm.ColumnShift" hidden="1" xlm="1">#NAME?</definedName>
    <definedName name="_xlpm.con" hidden="1" xlm="1">#NAME?</definedName>
    <definedName name="_xlpm.conf" hidden="1" xlm="1">#NAME?</definedName>
    <definedName name="_xlpm.cont" hidden="1" xlm="1">#NAME?</definedName>
    <definedName name="_xlpm.Content" hidden="1" xlm="1">#NAME?</definedName>
    <definedName name="_xlpm.cot" hidden="1" xlm="1">#NAME?</definedName>
    <definedName name="_xlpm.cs" hidden="1" xlm="1">#NAME?</definedName>
    <definedName name="_xlpm.ct" hidden="1" xlm="1">#NAME?</definedName>
    <definedName name="_xlpm.cu" hidden="1" xlm="1">#NAME?</definedName>
    <definedName name="_xlpm.cum" hidden="1" xlm="1">#NAME?</definedName>
    <definedName name="_xlpm.cumul" hidden="1" xlm="1">#NAME?</definedName>
    <definedName name="_xlpm.Cumulative" hidden="1" xlm="1">#NAME?</definedName>
    <definedName name="_xlpm.current_col" hidden="1" xlm="1">#NAME?</definedName>
    <definedName name="_xlpm.current_index" hidden="1" xlm="1">#NAME?</definedName>
    <definedName name="_xlpm.current_item" hidden="1" xlm="1">#NAME?</definedName>
    <definedName name="_xlpm.current_row" hidden="1" xlm="1">#NAME?</definedName>
    <definedName name="_xlpm.current_value" hidden="1" xlm="1">#NAME?</definedName>
    <definedName name="_xlpm.Cus_Dir" hidden="1" xlm="1">#NAME?</definedName>
    <definedName name="_xlpm.Custom_Directions" hidden="1" xlm="1">#NAME?</definedName>
    <definedName name="_xlpm.d" hidden="1" xlm="1">#NAME?</definedName>
    <definedName name="_xlpm.Data" hidden="1" xlm="1">#NAME?</definedName>
    <definedName name="_xlpm.data?" hidden="1" xlm="1">#NAME?</definedName>
    <definedName name="_xlpm.dd" hidden="1" xlm="1">#NAME?</definedName>
    <definedName name="_xlpm.decPart" hidden="1" xlm="1">#NAME?</definedName>
    <definedName name="_xlpm.Delimiter" hidden="1" xlm="1">#NAME?</definedName>
    <definedName name="_xlpm.des" hidden="1" xlm="1">#NAME?</definedName>
    <definedName name="_xlpm.df" hidden="1" xlm="1">#NAME?</definedName>
    <definedName name="_xlpm.diagonals" hidden="1" xlm="1">#NAME?</definedName>
    <definedName name="_xlpm.Dice" hidden="1" xlm="1">#NAME?</definedName>
    <definedName name="_xlpm.dices" hidden="1" xlm="1">#NAME?</definedName>
    <definedName name="_xlpm.digits" hidden="1" xlm="1">#NAME?</definedName>
    <definedName name="_xlpm.dir" hidden="1" xlm="1">#NAME?</definedName>
    <definedName name="_xlpm.directions" hidden="1" xlm="1">#NAME?</definedName>
    <definedName name="_xlpm.dist" hidden="1" xlm="1">#NAME?</definedName>
    <definedName name="_xlpm.dist?" hidden="1" xlm="1">#NAME?</definedName>
    <definedName name="_xlpm.Dista" hidden="1" xlm="1">#NAME?</definedName>
    <definedName name="_xlpm.Distance" hidden="1" xlm="1">#NAME?</definedName>
    <definedName name="_xlpm.DistSaved" hidden="1" xlm="1">#NAME?</definedName>
    <definedName name="_xlpm.div" hidden="1" xlm="1">#NAME?</definedName>
    <definedName name="_xlpm.Divider" hidden="1" xlm="1">#NAME?</definedName>
    <definedName name="_xlpm.Division" hidden="1" xlm="1">#NAME?</definedName>
    <definedName name="_xlpm.dl" hidden="1" xlm="1">#NAME?</definedName>
    <definedName name="_xlpm.do" hidden="1" xlm="1">#NAME?</definedName>
    <definedName name="_xlpm.downward" hidden="1" xlm="1">#NAME?</definedName>
    <definedName name="_xlpm.dr" hidden="1" xlm="1">#NAME?</definedName>
    <definedName name="_xlpm.ea" hidden="1" xlm="1">#NAME?</definedName>
    <definedName name="_xlpm.each_rep" hidden="1" xlm="1">#NAME?</definedName>
    <definedName name="_xlpm.eao" hidden="1" xlm="1">#NAME?</definedName>
    <definedName name="_xlpm.ec" hidden="1" xlm="1">#NAME?</definedName>
    <definedName name="_xlpm.end" hidden="1" xlm="1">#NAME?</definedName>
    <definedName name="_xlpm.end_1word_2line" hidden="1" xlm="1">#NAME?</definedName>
    <definedName name="_xlpm.ending_char" hidden="1" xlm="1">#NAME?</definedName>
    <definedName name="_xlpm.EndQ" hidden="1" xlm="1">#NAME?</definedName>
    <definedName name="_xlpm.EndSpace" hidden="1" xlm="1">#NAME?</definedName>
    <definedName name="_xlpm.er" hidden="1" xlm="1">#NAME?</definedName>
    <definedName name="_xlpm.except" hidden="1" xlm="1">#NAME?</definedName>
    <definedName name="_xlpm.Except?" hidden="1" xlm="1">#NAME?</definedName>
    <definedName name="_xlpm.exclude" hidden="1" xlm="1">#NAME?</definedName>
    <definedName name="_xlpm.exp" hidden="1" xlm="1">#NAME?</definedName>
    <definedName name="_xlpm.expl" hidden="1" xlm="1">#NAME?</definedName>
    <definedName name="_xlpm.extract_from" hidden="1" xlm="1">#NAME?</definedName>
    <definedName name="_xlpm.extreme" hidden="1" xlm="1">#NAME?</definedName>
    <definedName name="_xlpm.f" hidden="1" xlm="1">#NAME?</definedName>
    <definedName name="_xlpm.fcl" hidden="1" xlm="1">#NAME?</definedName>
    <definedName name="_xlpm.fd" hidden="1" xlm="1">#NAME?</definedName>
    <definedName name="_xlpm.Fill" hidden="1" xlm="1">#NAME?</definedName>
    <definedName name="_xlpm.fill_with" hidden="1" xlm="1">#NAME?</definedName>
    <definedName name="_xlpm.final" hidden="1" xlm="1">#NAME?</definedName>
    <definedName name="_xlpm.finalResult" hidden="1" xlm="1">#NAME?</definedName>
    <definedName name="_xlpm.First" hidden="1" xlm="1">#NAME?</definedName>
    <definedName name="_xlpm.firstCol" hidden="1" xlm="1">#NAME?</definedName>
    <definedName name="_xlpm.firstRow" hidden="1" xlm="1">#NAME?</definedName>
    <definedName name="_xlpm.fl" hidden="1" xlm="1">#NAME?</definedName>
    <definedName name="_xlpm.flatten" hidden="1" xlm="1">#NAME?</definedName>
    <definedName name="_xlpm.flush" hidden="1" xlm="1">#NAME?</definedName>
    <definedName name="_xlpm.FMp" hidden="1" xlm="1">#NAME?</definedName>
    <definedName name="_xlpm.fn" hidden="1" xlm="1">#NAME?</definedName>
    <definedName name="_xlpm.fold?" hidden="1" xlm="1">#NAME?</definedName>
    <definedName name="_xlpm.for_horizontal_vertical_2_for_horizontal_vertical_diagonal_3_for_pythagor" hidden="1" xlm="1">#NAME?</definedName>
    <definedName name="_xlpm.fourkind" hidden="1" xlm="1">#NAME?</definedName>
    <definedName name="_xlpm.from" hidden="1" xlm="1">#NAME?</definedName>
    <definedName name="_xlpm.ft" hidden="1" xlm="1">#NAME?</definedName>
    <definedName name="_xlpm.fullhouse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b" hidden="1" xlm="1">#NAME?</definedName>
    <definedName name="_xlpm.gc" hidden="1" xlm="1">#NAME?</definedName>
    <definedName name="_xlpm.gettingCol" hidden="1" xlm="1">#NAME?</definedName>
    <definedName name="_xlpm.gettingRow" hidden="1" xlm="1">#NAME?</definedName>
    <definedName name="_xlpm.gg" hidden="1" xlm="1">#NAME?</definedName>
    <definedName name="_xlpm.gib" hidden="1" xlm="1">#NAME?</definedName>
    <definedName name="_xlpm.gl" hidden="1" xlm="1">#NAME?</definedName>
    <definedName name="_xlpm.Glide" hidden="1" xlm="1">#NAME?</definedName>
    <definedName name="_xlpm.grid" hidden="1" xlm="1">#NAME?</definedName>
    <definedName name="_xlpm.GROUP2" hidden="1" xlm="1">#NAME?</definedName>
    <definedName name="_xlpm.GROUP3" hidden="1" xlm="1">#NAME?</definedName>
    <definedName name="_xlpm.Groups" hidden="1" xlm="1">#NAME?</definedName>
    <definedName name="_xlpm.h" hidden="1" xlm="1">#NAME?</definedName>
    <definedName name="_xlpm.Hstk" hidden="1" xlm="1">#NAME?</definedName>
    <definedName name="_xlpm.Hv0Di1Dx2Hex3Knight4opp" hidden="1" xlm="1">#NAME?</definedName>
    <definedName name="_xlpm.hvd" hidden="1" xlm="1">#NAME?</definedName>
    <definedName name="_xlpm.i" hidden="1" xlm="1">#NAME?</definedName>
    <definedName name="_xlpm.ib" hidden="1" xlm="1">#NAME?</definedName>
    <definedName name="_xlpm.ic" hidden="1" xlm="1">#NAME?</definedName>
    <definedName name="_xlpm.If_not_found" hidden="1" xlm="1">#NAME?</definedName>
    <definedName name="_xlpm.ift" hidden="1" xlm="1">#NAME?</definedName>
    <definedName name="_xlpm.Ig" hidden="1" xlm="1">#NAME?</definedName>
    <definedName name="_xlpm.Ignore" hidden="1" xlm="1">#NAME?</definedName>
    <definedName name="_xlpm.ignore_decimals" hidden="1" xlm="1">#NAME?</definedName>
    <definedName name="_xlpm.im" hidden="1" xlm="1">#NAME?</definedName>
    <definedName name="_xlpm.incells" hidden="1" xlm="1">#NAME?</definedName>
    <definedName name="_xlpm.include_blanks" hidden="1" xlm="1">#NAME?</definedName>
    <definedName name="_xlpm.incol" hidden="1" xlm="1">#NAME?</definedName>
    <definedName name="_xlpm.incols" hidden="1" xlm="1">#NAME?</definedName>
    <definedName name="_xlpm.Ind" hidden="1" xlm="1">#NAME?</definedName>
    <definedName name="_xlpm.indices" hidden="1" xlm="1">#NAME?</definedName>
    <definedName name="_xlpm.initial_value" hidden="1" xlm="1">#NAME?</definedName>
    <definedName name="_xlpm.input_array" hidden="1" xlm="1">#NAME?</definedName>
    <definedName name="_xlpm.input_table" hidden="1" xlm="1">#NAME?</definedName>
    <definedName name="_xlpm.input_text" hidden="1" xlm="1">#NAME?</definedName>
    <definedName name="_xlpm.Input1" hidden="1" xlm="1">#NAME?</definedName>
    <definedName name="_xlpm.Input2" hidden="1" xlm="1">#NAME?</definedName>
    <definedName name="_xlpm.inrows" hidden="1" xlm="1">#NAME?</definedName>
    <definedName name="_xlpm.Inti" hidden="1" xlm="1">#NAME?</definedName>
    <definedName name="_xlpm.intPart" hidden="1" xlm="1">#NAME?</definedName>
    <definedName name="_xlpm.ir" hidden="1" xlm="1">#NAME?</definedName>
    <definedName name="_xlpm.is_column" hidden="1" xlm="1">#NAME?</definedName>
    <definedName name="_xlpm.isNeg" hidden="1" xlm="1">#NAME?</definedName>
    <definedName name="_xlpm.Item" hidden="1" xlm="1">#NAME?</definedName>
    <definedName name="_xlpm.Items" hidden="1" xlm="1">#NAME?</definedName>
    <definedName name="_xlpm.iter" hidden="1" xlm="1">#NAME?</definedName>
    <definedName name="_xlpm.ix" hidden="1" xlm="1">#NAME?</definedName>
    <definedName name="_xlpm.j" hidden="1" xlm="1">#NAME?</definedName>
    <definedName name="_xlpm.join" hidden="1" xlm="1">#NAME?</definedName>
    <definedName name="_xlpm.Keep" hidden="1" xlm="1">#NAME?</definedName>
    <definedName name="_xlpm.keep_ol_vals?" hidden="1" xlm="1">#NAME?</definedName>
    <definedName name="_xlpm.KeepBlanks" hidden="1" xlm="1">#NAME?</definedName>
    <definedName name="_xlpm.KeepColumns" hidden="1" xlm="1">#NAME?</definedName>
    <definedName name="_xlpm.km" hidden="1" xlm="1">#NAME?</definedName>
    <definedName name="_xlpm.kn" hidden="1" xlm="1">#NAME?</definedName>
    <definedName name="_xlpm.knight" hidden="1" xlm="1">#NAME?</definedName>
    <definedName name="_xlpm.l" hidden="1" xlm="1">#NAME?</definedName>
    <definedName name="_xlpm.LabelOrder" hidden="1" xlm="1">#NAME?</definedName>
    <definedName name="_xlpm.last" hidden="1" xlm="1">#NAME?</definedName>
    <definedName name="_xlpm.last_accumulator" hidden="1" xlm="1">#NAME?</definedName>
    <definedName name="_xlpm.lastCol" hidden="1" xlm="1">#NAME?</definedName>
    <definedName name="_xlpm.lastRow" hidden="1" xlm="1">#NAME?</definedName>
    <definedName name="_xlpm.layers" hidden="1" xlm="1">#NAME?</definedName>
    <definedName name="_xlpm.lenght" hidden="1" xlm="1">#NAME?</definedName>
    <definedName name="_xlpm.Letters" hidden="1" xlm="1">#NAME?</definedName>
    <definedName name="_xlpm.lf" hidden="1" xlm="1">#NAME?</definedName>
    <definedName name="_xlpm.lfx" hidden="1" xlm="1">#NAME?</definedName>
    <definedName name="_xlpm.lg" hidden="1" xlm="1">#NAME?</definedName>
    <definedName name="_xlpm.ligne" hidden="1" xlm="1">#NAME?</definedName>
    <definedName name="_xlpm.list" hidden="1" xlm="1">#NAME?</definedName>
    <definedName name="_xlpm.loc?" hidden="1" xlm="1">#NAME?</definedName>
    <definedName name="_xlpm.locd" hidden="1" xlm="1">#NAME?</definedName>
    <definedName name="_xlpm.locu" hidden="1" xlm="1">#NAME?</definedName>
    <definedName name="_xlpm.logic" hidden="1" xlm="1">#NAME?</definedName>
    <definedName name="_xlpm.lookup_array" hidden="1" xlm="1">#NAME?</definedName>
    <definedName name="_xlpm.lu" hidden="1" xlm="1">#NAME?</definedName>
    <definedName name="_xlpm.lut" hidden="1" xlm="1">#NAME?</definedName>
    <definedName name="_xlpm.m" hidden="1" xlm="1">#NAME?</definedName>
    <definedName name="_xlpm.ma" hidden="1" xlm="1">#NAME?</definedName>
    <definedName name="_xlpm.mac" hidden="1" xlm="1">#NAME?</definedName>
    <definedName name="_xlpm.Macol" hidden="1" xlm="1">#NAME?</definedName>
    <definedName name="_xlpm.mainPart" hidden="1" xlm="1">#NAME?</definedName>
    <definedName name="_xlpm.map" hidden="1" xlm="1">#NAME?</definedName>
    <definedName name="_xlpm.mapAct_where_ads_are_in_reality" hidden="1" xlm="1">#NAME?</definedName>
    <definedName name="_xlpm.mapActFinal" hidden="1" xlm="1">#NAME?</definedName>
    <definedName name="_xlpm.maps" hidden="1" xlm="1">#NAME?</definedName>
    <definedName name="_xlpm.mar" hidden="1" xlm="1">#NAME?</definedName>
    <definedName name="_xlpm.Marow" hidden="1" xlm="1">#NAME?</definedName>
    <definedName name="_xlpm.max" hidden="1" xlm="1">#NAME?</definedName>
    <definedName name="_xlpm.Max_Col" hidden="1" xlm="1">#NAME?</definedName>
    <definedName name="_xlpm.Max_Row" hidden="1" xlm="1">#NAME?</definedName>
    <definedName name="_xlpm.maxc" hidden="1" xlm="1">#NAME?</definedName>
    <definedName name="_xlpm.MaximiseW" hidden="1" xlm="1">#NAME?</definedName>
    <definedName name="_xlpm.maxr" hidden="1" xlm="1">#NAME?</definedName>
    <definedName name="_xlpm.maxVal" hidden="1" xlm="1">#NAME?</definedName>
    <definedName name="_xlpm.Mazelam" hidden="1" xlm="1">#NAME?</definedName>
    <definedName name="_xlpm.mc" hidden="1" xlm="1">#NAME?</definedName>
    <definedName name="_xlpm.md" hidden="1" xlm="1">#NAME?</definedName>
    <definedName name="_xlpm.Me" hidden="1" xlm="1">#NAME?</definedName>
    <definedName name="_xlpm.mi" hidden="1" xlm="1">#NAME?</definedName>
    <definedName name="_xlpm.mic" hidden="1" xlm="1">#NAME?</definedName>
    <definedName name="_xlpm.Micol" hidden="1" xlm="1">#NAME?</definedName>
    <definedName name="_xlpm.min" hidden="1" xlm="1">#NAME?</definedName>
    <definedName name="_xlpm.Min_Col" hidden="1" xlm="1">#NAME?</definedName>
    <definedName name="_xlpm.Min_Row" hidden="1" xlm="1">#NAME?</definedName>
    <definedName name="_xlpm.minc" hidden="1" xlm="1">#NAME?</definedName>
    <definedName name="_xlpm.MinDist" hidden="1" xlm="1">#NAME?</definedName>
    <definedName name="_xlpm.minr" hidden="1" xlm="1">#NAME?</definedName>
    <definedName name="_xlpm.Minus" hidden="1" xlm="1">#NAME?</definedName>
    <definedName name="_xlpm.minVal" hidden="1" xlm="1">#NAME?</definedName>
    <definedName name="_xlpm.mir" hidden="1" xlm="1">#NAME?</definedName>
    <definedName name="_xlpm.Mirow" hidden="1" xlm="1">#NAME?</definedName>
    <definedName name="_xlpm.ml" hidden="1" xlm="1">#NAME?</definedName>
    <definedName name="_xlpm.mlt" hidden="1" xlm="1">#NAME?</definedName>
    <definedName name="_xlpm.MoveValue" hidden="1" xlm="1">#NAME?</definedName>
    <definedName name="_xlpm.mp" hidden="1" xlm="1">#NAME?</definedName>
    <definedName name="_xlpm.mpA" hidden="1" xlm="1">#NAME?</definedName>
    <definedName name="_xlpm.mpT" hidden="1" xlm="1">#NAME?</definedName>
    <definedName name="_xlpm.mr" hidden="1" xlm="1">#NAME?</definedName>
    <definedName name="_xlpm.mref" hidden="1" xlm="1">#NAME?</definedName>
    <definedName name="_xlpm.mu" hidden="1" xlm="1">#NAME?</definedName>
    <definedName name="_xlpm.Mult" hidden="1" xlm="1">#NAME?</definedName>
    <definedName name="_xlpm.multiarray" hidden="1" xlm="1">#NAME?</definedName>
    <definedName name="_xlpm.Multiple" hidden="1" xlm="1">#NAME?</definedName>
    <definedName name="_xlpm.multiply" hidden="1" xlm="1">#NAME?</definedName>
    <definedName name="_xlpm.Mvts" hidden="1" xlm="1">#NAME?</definedName>
    <definedName name="_xlpm.MvtsType" hidden="1" xlm="1">#NAME?</definedName>
    <definedName name="_xlpm.mxrc" hidden="1" xlm="1">#NAME?</definedName>
    <definedName name="_xlpm.N" hidden="1" xlm="1">#NAME?</definedName>
    <definedName name="_xlpm.na" hidden="1" xlm="1">#NAME?</definedName>
    <definedName name="_xlpm.nad" hidden="1" xlm="1">#NAME?</definedName>
    <definedName name="_xlpm.naive" hidden="1" xlm="1">#NAME?</definedName>
    <definedName name="_xlpm.nc" hidden="1" xlm="1">#NAME?</definedName>
    <definedName name="_xlpm.ncc" hidden="1" xlm="1">#NAME?</definedName>
    <definedName name="_xlpm.NCity" hidden="1" xlm="1">#NAME?</definedName>
    <definedName name="_xlpm.nd" hidden="1" xlm="1">#NAME?</definedName>
    <definedName name="_xlpm.NDistance" hidden="1" xlm="1">#NAME?</definedName>
    <definedName name="_xlpm.new_value" hidden="1" xlm="1">#NAME?</definedName>
    <definedName name="_xlpm.NewSr" hidden="1" xlm="1">#NAME?</definedName>
    <definedName name="_xlpm.NewVal" hidden="1" xlm="1">#NAME?</definedName>
    <definedName name="_xlpm.Next" hidden="1" xlm="1">#NAME?</definedName>
    <definedName name="_xlpm.nextarrow" hidden="1" xlm="1">#NAME?</definedName>
    <definedName name="_xlpm.nextdigit" hidden="1" xlm="1">#NAME?</definedName>
    <definedName name="_xlpm.nextpluscarry" hidden="1" xlm="1">#NAME?</definedName>
    <definedName name="_xlpm.nft" hidden="1" xlm="1">#NAME?</definedName>
    <definedName name="_xlpm.NMref" hidden="1" xlm="1">#NAME?</definedName>
    <definedName name="_xlpm.NNN" hidden="1" xlm="1">#NAME?</definedName>
    <definedName name="_xlpm.no_and" hidden="1" xlm="1">#NAME?</definedName>
    <definedName name="_xlpm.No_Diag" hidden="1" xlm="1">#NAME?</definedName>
    <definedName name="_xlpm.no_repeat" hidden="1" xlm="1">#NAME?</definedName>
    <definedName name="_xlpm.NonCaseSensitive" hidden="1" xlm="1">#NAME?</definedName>
    <definedName name="_xlpm.NoTimes" hidden="1" xlm="1">#NAME?</definedName>
    <definedName name="_xlpm.NoWrapAround" hidden="1" xlm="1">#NAME?</definedName>
    <definedName name="_xlpm.noZero" hidden="1" xlm="1">#NAME?</definedName>
    <definedName name="_xlpm.npool" hidden="1" xlm="1">#NAME?</definedName>
    <definedName name="_xlpm.nr" hidden="1" xlm="1">#NAME?</definedName>
    <definedName name="_xlpm.NSaved" hidden="1" xlm="1">#NAME?</definedName>
    <definedName name="_xlpm.NStartContent" hidden="1" xlm="1">#NAME?</definedName>
    <definedName name="_xlpm.nu" hidden="1" xlm="1">#NAME?</definedName>
    <definedName name="_xlpm.num" hidden="1" xlm="1">#NAME?</definedName>
    <definedName name="_xlpm.number" hidden="1" xlm="1">#NAME?</definedName>
    <definedName name="_xlpm.Numbers_onlytwo_FplusS_FminS_Fdiv" hidden="1" xlm="1">#NAME?</definedName>
    <definedName name="_xlpm.numCols" hidden="1" xlm="1">#NAME?</definedName>
    <definedName name="_xlpm.numRows" hidden="1" xlm="1">#NAME?</definedName>
    <definedName name="_xlpm.nums1" hidden="1" xlm="1">#NAME?</definedName>
    <definedName name="_xlpm.nums1split" hidden="1" xlm="1">#NAME?</definedName>
    <definedName name="_xlpm.nums2" hidden="1" xlm="1">#NAME?</definedName>
    <definedName name="_xlpm.nums2split" hidden="1" xlm="1">#NAME?</definedName>
    <definedName name="_xlpm.nv" hidden="1" xlm="1">#NAME?</definedName>
    <definedName name="_xlpm.NVisited" hidden="1" xlm="1">#NAME?</definedName>
    <definedName name="_xlpm.NVisitedCity" hidden="1" xlm="1">#NAME?</definedName>
    <definedName name="_xlpm.nw" hidden="1" xlm="1">#NAME?</definedName>
    <definedName name="_xlpm.o" hidden="1" xlm="1">#NAME?</definedName>
    <definedName name="_xlpm.oad" hidden="1" xlm="1">#NAME?</definedName>
    <definedName name="_xlpm.ob" hidden="1" xlm="1">#NAME?</definedName>
    <definedName name="_xlpm.OccOf" hidden="1" xlm="1">#NAME?</definedName>
    <definedName name="_xlpm.od" hidden="1" xlm="1">#NAME?</definedName>
    <definedName name="_xlpm.offset" hidden="1" xlm="1">#NAME?</definedName>
    <definedName name="_xlpm.ok_dir" hidden="1" xlm="1">#NAME?</definedName>
    <definedName name="_xlpm.ok_div" hidden="1" xlm="1">#NAME?</definedName>
    <definedName name="_xlpm.omitblanks" hidden="1" xlm="1">#NAME?</definedName>
    <definedName name="_xlpm.OnlyFirst" hidden="1" xlm="1">#NAME?</definedName>
    <definedName name="_xlpm.OOB" hidden="1" xlm="1">#NAME?</definedName>
    <definedName name="_xlpm.OP" hidden="1" xlm="1">#NAME?</definedName>
    <definedName name="_xlpm.Operation_1Summation_2Subtraction_3Multiplication_4Division" hidden="1" xlm="1">#NAME?</definedName>
    <definedName name="_xlpm.OPP" hidden="1" xlm="1">#NAME?</definedName>
    <definedName name="_xlpm.ordered" hidden="1" xlm="1">#NAME?</definedName>
    <definedName name="_xlpm.ori" hidden="1" xlm="1">#NAME?</definedName>
    <definedName name="_xlpm.OrigninDestinationTable" hidden="1" xlm="1">#NAME?</definedName>
    <definedName name="_xlpm.out" hidden="1" xlm="1">#NAME?</definedName>
    <definedName name="_xlpm.OutOne" hidden="1" xlm="1">#NAME?</definedName>
    <definedName name="_xlpm.output" hidden="1" xlm="1">#NAME?</definedName>
    <definedName name="_xlpm.Overlap" hidden="1" xlm="1">#NAME?</definedName>
    <definedName name="_xlpm.p" hidden="1" xlm="1">#NAME?</definedName>
    <definedName name="_xlpm.P0C1" hidden="1" xlm="1">#NAME?</definedName>
    <definedName name="_xlpm.pa" hidden="1" xlm="1">#NAME?</definedName>
    <definedName name="_xlpm.padded" hidden="1" xlm="1">#NAME?</definedName>
    <definedName name="_xlpm.pair" hidden="1" xlm="1">#NAME?</definedName>
    <definedName name="_xlpm.param" hidden="1" xlm="1">#NAME?</definedName>
    <definedName name="_xlpm.params" hidden="1" xlm="1">#NAME?</definedName>
    <definedName name="_xlpm.parity" hidden="1" xlm="1">#NAME?</definedName>
    <definedName name="_xlpm.pass" hidden="1" xlm="1">#NAME?</definedName>
    <definedName name="_xlpm.Paths" hidden="1" xlm="1">#NAME?</definedName>
    <definedName name="_xlpm.pb" hidden="1" xlm="1">#NAME?</definedName>
    <definedName name="_xlpm.pd" hidden="1" xlm="1">#NAME?</definedName>
    <definedName name="_xlpm.piece" hidden="1" xlm="1">#NAME?</definedName>
    <definedName name="_xlpm.pk" hidden="1" xlm="1">#NAME?</definedName>
    <definedName name="_xlpm.plage" hidden="1" xlm="1">#NAME?</definedName>
    <definedName name="_xlpm.Plus" hidden="1" xlm="1">#NAME?</definedName>
    <definedName name="_xlpm.pokercards" hidden="1" xlm="1">#NAME?</definedName>
    <definedName name="_xlpm.pool" hidden="1" xlm="1">#NAME?</definedName>
    <definedName name="_xlpm.pos" hidden="1" xlm="1">#NAME?</definedName>
    <definedName name="_xlpm.Pow" hidden="1" xlm="1">#NAME?</definedName>
    <definedName name="_xlpm.prioarrows" hidden="1" xlm="1">#NAME?</definedName>
    <definedName name="_xlpm.processed_item" hidden="1" xlm="1">#NAME?</definedName>
    <definedName name="_xlpm.pth" hidden="1" xlm="1">#NAME?</definedName>
    <definedName name="_xlpm.px" hidden="1" xlm="1">#NAME?</definedName>
    <definedName name="_xlpm.py" hidden="1" xlm="1">#NAME?</definedName>
    <definedName name="_xlpm.pythag" hidden="1" xlm="1">#NAME?</definedName>
    <definedName name="_xlpm.QNumbersOnly" hidden="1" xlm="1">#NAME?</definedName>
    <definedName name="_xlpm.questions" hidden="1" xlm="1">#NAME?</definedName>
    <definedName name="_xlpm.r" hidden="1" xlm="1">#NAME?</definedName>
    <definedName name="_xlpm.ra" hidden="1" xlm="1">#NAME?</definedName>
    <definedName name="_xlpm.Radius" hidden="1" xlm="1">#NAME?</definedName>
    <definedName name="_xlpm.Range" hidden="1" xlm="1">#NAME?</definedName>
    <definedName name="_xlpm.ranges" hidden="1" xlm="1">#NAME?</definedName>
    <definedName name="_xlpm.rblc" hidden="1" xlm="1">#NAME?</definedName>
    <definedName name="_xlpm.RC" hidden="1" xlm="1">#NAME?</definedName>
    <definedName name="_xlpm.RCaa_CRaa_RCad_CRad_RCda_CRda_RCdd_CRdd" hidden="1" xlm="1">#NAME?</definedName>
    <definedName name="_xlpm.rcb" hidden="1" xlm="1">#NAME?</definedName>
    <definedName name="_xlpm.rcn" hidden="1" xlm="1">#NAME?</definedName>
    <definedName name="_xlpm.rcRef" hidden="1" xlm="1">#NAME?</definedName>
    <definedName name="_xlpm.rcRefAdj" hidden="1" xlm="1">#NAME?</definedName>
    <definedName name="_xlpm.rcRefClip" hidden="1" xlm="1">#NAME?</definedName>
    <definedName name="_xlpm.rcRefClipped" hidden="1" xlm="1">#NAME?</definedName>
    <definedName name="_xlpm.rcRefs" hidden="1" xlm="1">#NAME?</definedName>
    <definedName name="_xlpm.rcRefToCol" hidden="1" xlm="1">#NAME?</definedName>
    <definedName name="_xlpm.rcRefToRow" hidden="1" xlm="1">#NAME?</definedName>
    <definedName name="_xlpm.rcs" hidden="1" xlm="1">#NAME?</definedName>
    <definedName name="_xlpm.rcst" hidden="1" xlm="1">#NAME?</definedName>
    <definedName name="_xlpm.rd" hidden="1" xlm="1">#NAME?</definedName>
    <definedName name="_xlpm.re" hidden="1" xlm="1">#NAME?</definedName>
    <definedName name="_xlpm.Rec" hidden="1" xlm="1">#NAME?</definedName>
    <definedName name="_xlpm.Reccursion" hidden="1" xlm="1">#NAME?</definedName>
    <definedName name="_xlpm.RectTab" hidden="1" xlm="1">#NAME?</definedName>
    <definedName name="_xlpm.Reference" hidden="1" xlm="1">#NAME?</definedName>
    <definedName name="_xlpm.RemoveOrder" hidden="1" xlm="1">#NAME?</definedName>
    <definedName name="_xlpm.rep" hidden="1" xlm="1">#NAME?</definedName>
    <definedName name="_xlpm.repeat_array" hidden="1" xlm="1">#NAME?</definedName>
    <definedName name="_xlpm.repeat_element" hidden="1" xlm="1">#NAME?</definedName>
    <definedName name="_xlpm.res" hidden="1" xlm="1">#NAME?</definedName>
    <definedName name="_xlpm.result" hidden="1" xlm="1">#NAME?</definedName>
    <definedName name="_xlpm.resultIfClipped" hidden="1" xlm="1">#NAME?</definedName>
    <definedName name="_xlpm.Return" hidden="1" xlm="1">#NAME?</definedName>
    <definedName name="_xlpm.return_array" hidden="1" xlm="1">#NAME?</definedName>
    <definedName name="_xlpm.rf" hidden="1" xlm="1">#NAME?</definedName>
    <definedName name="_xlpm.rl" hidden="1" xlm="1">#NAME?</definedName>
    <definedName name="_xlpm.rm" hidden="1" xlm="1">#NAME?</definedName>
    <definedName name="_xlpm.rmp" hidden="1" xlm="1">#NAME?</definedName>
    <definedName name="_xlpm.RMref" hidden="1" xlm="1">#NAME?</definedName>
    <definedName name="_xlpm.rn" hidden="1" xlm="1">#NAME?</definedName>
    <definedName name="_xlpm.rng" hidden="1" xlm="1">#NAME?</definedName>
    <definedName name="_xlpm.row" hidden="1" xlm="1">#NAME?</definedName>
    <definedName name="_xlpm.row_acc" hidden="1" xlm="1">#NAME?</definedName>
    <definedName name="_xlpm.row_idx" hidden="1" xlm="1">#NAME?</definedName>
    <definedName name="_xlpm.row_indices" hidden="1" xlm="1">#NAME?</definedName>
    <definedName name="_xlpm.row_result" hidden="1" xlm="1">#NAME?</definedName>
    <definedName name="_xlpm.RowEnd" hidden="1" xlm="1">#NAME?</definedName>
    <definedName name="_xlpm.Rowitem" hidden="1" xlm="1">#NAME?</definedName>
    <definedName name="_xlpm.rowNumber" hidden="1" xlm="1">#NAME?</definedName>
    <definedName name="_xlpm.Rows" hidden="1" xlm="1">#NAME?</definedName>
    <definedName name="_xlpm.RowShift" hidden="1" xlm="1">#NAME?</definedName>
    <definedName name="_xlpm.RowStart" hidden="1" xlm="1">#NAME?</definedName>
    <definedName name="_xlpm.royalflush" hidden="1" xlm="1">#NAME?</definedName>
    <definedName name="_xlpm.rr" hidden="1" xlm="1">#NAME?</definedName>
    <definedName name="_xlpm.rs" hidden="1" xlm="1">#NAME?</definedName>
    <definedName name="_xlpm.rsaddd" hidden="1" xlm="1">#NAME?</definedName>
    <definedName name="_xlpm.rsaddu" hidden="1" xlm="1">#NAME?</definedName>
    <definedName name="_xlpm.rsvald" hidden="1" xlm="1">#NAME?</definedName>
    <definedName name="_xlpm.rsvalu" hidden="1" xlm="1">#NAME?</definedName>
    <definedName name="_xlpm.rt" hidden="1" xlm="1">#NAME?</definedName>
    <definedName name="_xlpm.Rtc" hidden="1" xlm="1">#NAME?</definedName>
    <definedName name="_xlpm.RtcP" hidden="1" xlm="1">#NAME?</definedName>
    <definedName name="_xlpm.Rtest" hidden="1" xlm="1">#NAME?</definedName>
    <definedName name="_xlpm.ru" hidden="1" xlm="1">#NAME?</definedName>
    <definedName name="_xlpm.RvalideCell" hidden="1" xlm="1">#NAME?</definedName>
    <definedName name="_xlpm.rw" hidden="1" xlm="1">#NAME?</definedName>
    <definedName name="_xlpm.rws" hidden="1" xlm="1">#NAME?</definedName>
    <definedName name="_xlpm.s" hidden="1" xlm="1">#NAME?</definedName>
    <definedName name="_xlpm.sa" hidden="1" xlm="1">#NAME?</definedName>
    <definedName name="_xlpm.sanitize" hidden="1" xlm="1">#NAME?</definedName>
    <definedName name="_xlpm.Saved" hidden="1" xlm="1">#NAME?</definedName>
    <definedName name="_xlpm.SbC" hidden="1" xlm="1">#NAME?</definedName>
    <definedName name="_xlpm.sc" hidden="1" xlm="1">#NAME?</definedName>
    <definedName name="_xlpm.scan_by_column" hidden="1" xlm="1">#NAME?</definedName>
    <definedName name="_xlpm.scan_result" hidden="1" xlm="1">#NAME?</definedName>
    <definedName name="_xlpm.ScanByCols" hidden="1" xlm="1">#NAME?</definedName>
    <definedName name="_xlpm.Sds" hidden="1" xlm="1">#NAME?</definedName>
    <definedName name="_xlpm.SearchMode" hidden="1" xlm="1">#NAME?</definedName>
    <definedName name="_xlpm.seq" hidden="1" xlm="1">#NAME?</definedName>
    <definedName name="_xlpm.Sfi" hidden="1" xlm="1">#NAME?</definedName>
    <definedName name="_xlpm.Sfrom" hidden="1" xlm="1">#NAME?</definedName>
    <definedName name="_xlpm.shift" hidden="1" xlm="1">#NAME?</definedName>
    <definedName name="_xlpm.Show_Steps" hidden="1" xlm="1">#NAME?</definedName>
    <definedName name="_xlpm.ShowDist" hidden="1" xlm="1">#NAME?</definedName>
    <definedName name="_xlpm.ShowHV" hidden="1" xlm="1">#NAME?</definedName>
    <definedName name="_xlpm.ShowPath" hidden="1" xlm="1">#NAME?</definedName>
    <definedName name="_xlpm.ShowRoute" hidden="1" xlm="1">#NAME?</definedName>
    <definedName name="_xlpm.simple_version" hidden="1" xlm="1">#NAME?</definedName>
    <definedName name="_xlpm.SINGLES" hidden="1" xlm="1">#NAME?</definedName>
    <definedName name="_xlpm.Sm" hidden="1" xlm="1">#NAME?</definedName>
    <definedName name="_xlpm.Smallest" hidden="1" xlm="1">#NAME?</definedName>
    <definedName name="_xlpm.Source" hidden="1" xlm="1">#NAME?</definedName>
    <definedName name="_xlpm.sp" hidden="1" xlm="1">#NAME?</definedName>
    <definedName name="_xlpm.splits" hidden="1" xlm="1">#NAME?</definedName>
    <definedName name="_xlpm.sq" hidden="1" xlm="1">#NAME?</definedName>
    <definedName name="_xlpm.Sr" hidden="1" xlm="1">#NAME?</definedName>
    <definedName name="_xlpm.st" hidden="1" xlm="1">#NAME?</definedName>
    <definedName name="_xlpm.Stab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1word_2line" hidden="1" xlm="1">#NAME?</definedName>
    <definedName name="_xlpm.start_cell" hidden="1" xlm="1">#NAME?</definedName>
    <definedName name="_xlpm.StartContent" hidden="1" xlm="1">#NAME?</definedName>
    <definedName name="_xlpm.StartDistSaved" hidden="1" xlm="1">#NAME?</definedName>
    <definedName name="_xlpm.StartFromInti" hidden="1" xlm="1">#NAME?</definedName>
    <definedName name="_xlpm.starting_cell" hidden="1" xlm="1">#NAME?</definedName>
    <definedName name="_xlpm.starting_char" hidden="1" xlm="1">#NAME?</definedName>
    <definedName name="_xlpm.StartingCell" hidden="1" xlm="1">#NAME?</definedName>
    <definedName name="_xlpm.StartMref" hidden="1" xlm="1">#NAME?</definedName>
    <definedName name="_xlpm.StartQ" hidden="1" xlm="1">#NAME?</definedName>
    <definedName name="_xlpm.StartRorC" hidden="1" xlm="1">#NAME?</definedName>
    <definedName name="_xlpm.Starts" hidden="1" xlm="1">#NAME?</definedName>
    <definedName name="_xlpm.StartWeights" hidden="1" xlm="1">#NAME?</definedName>
    <definedName name="_xlpm.step" hidden="1" xlm="1">#NAME?</definedName>
    <definedName name="_xlpm.Step10" hidden="1" xlm="1">#NAME?</definedName>
    <definedName name="_xlpm.Step11" hidden="1" xlm="1">#NAME?</definedName>
    <definedName name="_xlpm.Step12" hidden="1" xlm="1">#NAME?</definedName>
    <definedName name="_xlpm.Step23" hidden="1" xlm="1">#NAME?</definedName>
    <definedName name="_xlpm.Step28" hidden="1" xlm="1">#NAME?</definedName>
    <definedName name="_xlpm.Step29" hidden="1" xlm="1">#NAME?</definedName>
    <definedName name="_xlpm.Step3" hidden="1" xlm="1">#NAME?</definedName>
    <definedName name="_xlpm.Step4" hidden="1" xlm="1">#NAME?</definedName>
    <definedName name="_xlpm.Step5" hidden="1" xlm="1">#NAME?</definedName>
    <definedName name="_xlpm.StepLimit" hidden="1" xlm="1">#NAME?</definedName>
    <definedName name="_xlpm.Steps" hidden="1" xlm="1">#NAME?</definedName>
    <definedName name="_xlpm.StMref" hidden="1" xlm="1">#NAME?</definedName>
    <definedName name="_xlpm.Sto" hidden="1" xlm="1">#NAME?</definedName>
    <definedName name="_xlpm.Stop" hidden="1" xlm="1">#NAME?</definedName>
    <definedName name="_xlpm.stp" hidden="1" xlm="1">#NAME?</definedName>
    <definedName name="_xlpm.straight" hidden="1" xlm="1">#NAME?</definedName>
    <definedName name="_xlpm.StraightFlush" hidden="1" xlm="1">#NAME?</definedName>
    <definedName name="_xlpm.subtrack" hidden="1" xlm="1">#NAME?</definedName>
    <definedName name="_xlpm.subtract" hidden="1" xlm="1">#NAME?</definedName>
    <definedName name="_xlpm.subtraction" hidden="1" xlm="1">#NAME?</definedName>
    <definedName name="_xlpm.Suitspresent" hidden="1" xlm="1">#NAME?</definedName>
    <definedName name="_xlpm.sw" hidden="1" xlm="1">#NAME?</definedName>
    <definedName name="_xlpm.SwapEvery" hidden="1" xlm="1">#NAME?</definedName>
    <definedName name="_xlpm.sym" hidden="1" xlm="1">#NAME?</definedName>
    <definedName name="_xlpm.t" hidden="1" xlm="1">#NAME?</definedName>
    <definedName name="_xlpm.tab" hidden="1" xlm="1">#NAME?</definedName>
    <definedName name="_xlpm.table" hidden="1" xlm="1">#NAME?</definedName>
    <definedName name="_xlpm.table_acc" hidden="1" xlm="1">#NAME?</definedName>
    <definedName name="_xlpm.table_result" hidden="1" xlm="1">#NAME?</definedName>
    <definedName name="_xlpm.tables?" hidden="1" xlm="1">#NAME?</definedName>
    <definedName name="_xlpm.take" hidden="1" xlm="1">#NAME?</definedName>
    <definedName name="_xlpm.takes" hidden="1" xlm="1">#NAME?</definedName>
    <definedName name="_xlpm.target" hidden="1" xlm="1">#NAME?</definedName>
    <definedName name="_xlpm.Target_Col" hidden="1" xlm="1">#NAME?</definedName>
    <definedName name="_xlpm.target_index" hidden="1" xlm="1">#NAME?</definedName>
    <definedName name="_xlpm.Target_Row" hidden="1" xlm="1">#NAME?</definedName>
    <definedName name="_xlpm.TargetCell" hidden="1" xlm="1">#NAME?</definedName>
    <definedName name="_xlpm.targets" hidden="1" xlm="1">#NAME?</definedName>
    <definedName name="_xlpm.tb" hidden="1" xlm="1">#NAME?</definedName>
    <definedName name="_xlpm.td" hidden="1" xlm="1">#NAME?</definedName>
    <definedName name="_xlpm.tem" hidden="1" xlm="1">#NAME?</definedName>
    <definedName name="_xlpm.ten2nt" hidden="1" xlm="1">#NAME?</definedName>
    <definedName name="_xlpm.tens" hidden="1" xlm="1">#NAME?</definedName>
    <definedName name="_xlpm.TestCell" hidden="1" xlm="1">#NAME?</definedName>
    <definedName name="_xlpm.Text" hidden="1" xlm="1">#NAME?</definedName>
    <definedName name="_xlpm.texte" hidden="1" xlm="1">#NAME?</definedName>
    <definedName name="_xlpm.TextOrArray" hidden="1" xlm="1">#NAME?</definedName>
    <definedName name="_xlpm.texts_to_extract" hidden="1" xlm="1">#NAME?</definedName>
    <definedName name="_xlpm.TextToRemove" hidden="1" xlm="1">#NAME?</definedName>
    <definedName name="_xlpm.tgt" hidden="1" xlm="1">#NAME?</definedName>
    <definedName name="_xlpm.threekind" hidden="1" xlm="1">#NAME?</definedName>
    <definedName name="_xlpm.Tiles" hidden="1" xlm="1">#NAME?</definedName>
    <definedName name="_xlpm.to" hidden="1" xlm="1">#NAME?</definedName>
    <definedName name="_xlpm.tokkens?" hidden="1" xlm="1">#NAME?</definedName>
    <definedName name="_xlpm.totalCols" hidden="1" xlm="1">#NAME?</definedName>
    <definedName name="_xlpm.totalRows" hidden="1" xlm="1">#NAME?</definedName>
    <definedName name="_xlpm.twopair" hidden="1" xlm="1">#NAME?</definedName>
    <definedName name="_xlpm.type" hidden="1" xlm="1">#NAME?</definedName>
    <definedName name="_xlpm.u" hidden="1" xlm="1">#NAME?</definedName>
    <definedName name="_xlpm.ud" hidden="1" xlm="1">#NAME?</definedName>
    <definedName name="_xlpm.UnpivotColumns" hidden="1" xlm="1">#NAME?</definedName>
    <definedName name="_xlpm.up" hidden="1" xlm="1">#NAME?</definedName>
    <definedName name="_xlpm.upp" hidden="1" xlm="1">#NAME?</definedName>
    <definedName name="_xlpm.Urw" hidden="1" xlm="1">#NAME?</definedName>
    <definedName name="_xlpm.use_by_row_logic" hidden="1" xlm="1">#NAME?</definedName>
    <definedName name="_xlpm.v" hidden="1" xlm="1">#NAME?</definedName>
    <definedName name="_xlpm.val" hidden="1" xlm="1">#NAME?</definedName>
    <definedName name="_xlpm.val?" hidden="1" xlm="1">#NAME?</definedName>
    <definedName name="_xlpm.valid" hidden="1" xlm="1">#NAME?</definedName>
    <definedName name="_xlpm.value" hidden="1" xlm="1">#NAME?</definedName>
    <definedName name="_xlpm.ValueOrder" hidden="1" xlm="1">#NAME?</definedName>
    <definedName name="_xlpm.Values" hidden="1" xlm="1">#NAME?</definedName>
    <definedName name="_xlpm.values_to_search" hidden="1" xlm="1">#NAME?</definedName>
    <definedName name="_xlpm.vector" hidden="1" xlm="1">#NAME?</definedName>
    <definedName name="_xlpm.vf" hidden="1" xlm="1">#NAME?</definedName>
    <definedName name="_xlpm.view" hidden="1" xlm="1">#NAME?</definedName>
    <definedName name="_xlpm.Visited" hidden="1" xlm="1">#NAME?</definedName>
    <definedName name="_xlpm.VisitedCity" hidden="1" xlm="1">#NAME?</definedName>
    <definedName name="_xlpm.vs" hidden="1" xlm="1">#NAME?</definedName>
    <definedName name="_xlpm.w" hidden="1" xlm="1">#NAME?</definedName>
    <definedName name="_xlpm.wa" hidden="1" xlm="1">#NAME?</definedName>
    <definedName name="_xlpm.Weights" hidden="1" xlm="1">#NAME?</definedName>
    <definedName name="_xlpm.whole_rep" hidden="1" xlm="1">#NAME?</definedName>
    <definedName name="_xlpm.With_Decimals" hidden="1" xlm="1">#NAME?</definedName>
    <definedName name="_xlpm.WithCenter" hidden="1" xlm="1">#NAME?</definedName>
    <definedName name="_xlpm.withgreed" hidden="1" xlm="1">#NAME?</definedName>
    <definedName name="_xlpm.withoutgreed" hidden="1" xlm="1">#NAME?</definedName>
    <definedName name="_xlpm.wl" hidden="1" xlm="1">#NAME?</definedName>
    <definedName name="_xlpm.word" hidden="1" xlm="1">#NAME?</definedName>
    <definedName name="_xlpm.Word_to_Make" hidden="1" xlm="1">#NAME?</definedName>
    <definedName name="_xlpm.WrapAround" hidden="1" xlm="1">#NAME?</definedName>
    <definedName name="_xlpm.x" hidden="1" xlm="1">#NAME?</definedName>
    <definedName name="_xlpm.xcept" hidden="1" xlm="1">#NAME?</definedName>
    <definedName name="_xlpm.xRC" hidden="1" xlm="1">#NAME?</definedName>
    <definedName name="_xlpm.y" hidden="1" xlm="1">#NAME?</definedName>
    <definedName name="_xlpm.z" hidden="1" xlm="1">#NAME?</definedName>
    <definedName name="A_Arrows" localSheetId="7">{"←";"↑";"→";"↓";"↖";"↗";"↘";"↙"}</definedName>
    <definedName name="A_Arrows">{"←";"↑";"→";"↓";"↖";"↗";"↘";"↙"}</definedName>
    <definedName name="Ad_To_Contents" localSheetId="7">_xlfn.LAMBDA(_xlpm.Ad,_xlpm.map,_xlop.OOB,_xlfn.LET(_xlpm.r,'Lz_Chess Lab'!RowNum(_xlpm.Ad),_xlpm.c,'Lz_Chess Lab'!ColNum(_xlpm.Ad),_xlpm.RC,_xlpm.r*10^6+_xlpm.c,_xlpm.rcn,ROW(_xlpm.map)*1000000+COLUMN(_xlpm.map),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_To_Contents">_xlfn.LAMBDA(_xlpm.Ad,_xlpm.map,_xlop.OOB,_xlfn.LET(_xlpm.r,RowNum(_xlpm.Ad),_xlpm.c,ColNum(_xlpm.Ad),_xlpm.RC,_xlpm.r*10^6+_xlpm.c,_xlpm.rcn,ROW(_xlpm.map)*1000000+COLUMN(_xlpm.map),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dressOfCells" localSheetId="7">_xlfn.LAMBDA(_xlpm.array,_xlfn.MAP(_xlpm.array,_xlfn.LAMBDA(_xlpm.a,ADDRESS(ROW(_xlpm.a),COLUMN(_xlpm.a),4))))</definedName>
    <definedName name="AddressOfCells">_xlfn.LAMBDA(_xlpm.array, _xlfn.MAP(_xlpm.array, _xlfn.LAMBDA(_xlpm.a, ADDRESS(ROW(_xlpm.a), COLUMN(_xlpm.a), 4))))</definedName>
    <definedName name="Alphabet">_xlfn.LAMBDA(CHAR(_xlfn.SEQUENCE(26,,65)))</definedName>
    <definedName name="ArrayShift" localSheetId="7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ayShift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ows" localSheetId="7">_xlfn.LAMBDA(_xlop.ShowHV,IF(_xlpm.ShowHV,{"↓",1,0;"↑",-1,0;"→",0,1;"←",0,-1;"↘",1,1;"↖",-1,-1;"↙",1,-1;"↗",-1,1},{"↓";"↑";"→";"←";"↘";"↖";"↙";"↗"}))</definedName>
    <definedName name="Arrows">_xlfn.LAMBDA(_xlop.ShowHV,IF(_xlpm.ShowHV,{"↓",1,0;"↑",-1,0;"→",0,1;"←",0,-1;"↘",1,1;"↖",-1,-1;"↙",1,-1;"↗",-1,1},{"↓";"↑";"→";"←";"↘";"↖";"↙";"↗"}))</definedName>
    <definedName name="BiCol" localSheetId="7">#N/A</definedName>
    <definedName name="BiCol">_xlfn.LAMBDA(_xlpm.array,_xlpm.function,IF(COLUMNS(_xlpm.array)=1,IF(ROWS(_xlpm.array)=1,_xlpm.function(_xlfn.SINGLE(_xlpm.array)),_xlpm.function(_xlpm.array)),_xlfn.HSTACK(BiCol(_xlfn.TAKE(_xlpm.array,,COLUMNS(_xlpm.array)/2),_xlpm.function),BiCol(_xlfn.DROP(_xlpm.array,,COLUMNS(_xlpm.array)/2),_xlpm.function))))</definedName>
    <definedName name="Biggest" localSheetId="7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ggest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Row" localSheetId="7">#N/A</definedName>
    <definedName name="BiRow">_xlfn.LAMBDA(_xlpm.array,_xlpm.function,IF(ROWS(_xlpm.array)=1,IF(COLUMNS(_xlpm.array)=1,_xlpm.function(_xlfn.SINGLE(_xlpm.array)),_xlpm.function(_xlpm.array)),_xlfn.VSTACK(BiRow(_xlfn.TAKE(_xlpm.array,ROWS(_xlpm.array)/2),_xlpm.function),BiRow(_xlfn.DROP(_xlpm.array,ROWS(_xlpm.array)/2),_xlpm.function))))</definedName>
    <definedName name="BlockOutMap" localSheetId="7">_xlfn.LAMBDA(_xlpm.mp,_xlpm.blockers,_xlop.Fill,_xlop.No_Diag,_xlop.Cus_Dir,_xlfn.LET(_xlpm.rn,ROW(_xlpm.mp),_xlpm.cn,COLUMN(_xlpm.mp),_xlpm.m,10^6,_xlpm.rcn,_xlpm.rn*_xlpm.m+_xlpm.cn,_xlpm.dir,{-1000000,-1,1,1000000,-1000001,-999999,999999,1000001}, _xlpm.xRC,IF(_xlfn.ISOMITTED(_xlpm.Cus_Dir),_xlfn.TAKE(_xlpm.dir,,8-4*_xlpm.No_Diag),_xlfn.TOROW(_xlpm.Cus_Dir,3)), _xlpm.blc,_xlfn.TOCOL(IF(_xlfn.XMATCH(_xlpm.mp,_xlfn.TAKE(_xlpm.blockers,,1)),_xlpm.rcn,""),3),_xlpm.rblc,VLOOKUP(INDEX(_xlpm.mp,INT(_xlpm.blc/_xlpm.m)-_xlfn.SINGLE(ROW(_xlpm.mp))+1,MOD(_xlpm.blc,_xlpm.m)-_xlfn.SINGLE(COLUMN(_xlpm.mp))+1),_xlpm.blockers,2,)-1,_xlpm.blitm,_xlfn.TOCOL(IF(_xlfn.XMATCH(_xlpm.rcn,_xlpm.blc),_xlpm.mp),3), _xlpm.tab,_xlfn.HSTACK(_xlpm.blc,_xlpm.rblc,_xlpm.blitm),_xlpm.cot,_xlfn._xlws.FILTER(_xlpm.tab,_xlpm.rblc&gt;0),  _xlpm.rs,_xlfn.REDUCE(1,_xlfn.SEQUENCE(ROWS(_xlpm.cot)),_xlfn.LAMBDA(_xlpm.t,_xlpm.y,_xlfn.LET( _xlpm.co,_xlfn.CHOOSEROWS(_xlpm.cot,_xlpm.y),_xlfn.VSTACK(_xlpm.t, _xlfn.IFNA(_xlfn.HSTACK(_xlfn.REDUCE(_xlfn.CONCAT(_xlfn.TAKE(_xlpm.co,,1))*1,_xlfn.SEQUENCE(_xlfn.CONCAT(_xlfn.CHOOSECOLS(_xlpm.co,2)))*1,_xlfn.LAMBDA(_xlpm.a,_xlpm.v,_xlfn.LET( _xlpm.b,_xlfn.TOCOL(_xlpm.a+_xlpm.xRC),_xlpm.c,_xlfn._xlws.FILTER(_xlpm.b,ISNA(_xlfn.XMATCH(_xlpm.b,_xlpm.a))), _xlfn.UNIQUE(_xlfn.VSTACK(_xlpm.a,_xlpm.c))))),_xlfn.TAKE(_xlpm.co,,-1)),_xlfn.TAKE(_xlpm.co,,-1)))))),  _xlpm.lut,_xlfn.VSTACK(_xlfn.CHOOSECOLS(_xlfn._xlws.FILTER(_xlpm.tab,_xlfn.CHOOSECOLS(_xlpm.tab,2)&gt;=0),1,3),IFERROR(_xlpm.rs,"")),_xlpm.final,IF(_xlfn.ISOMITTED(_xlpm.Fill),_xlfn.IFNA(VLOOKUP(_xlpm.rcn,_xlpm.lut,2,),""),IF(ISNUMBER(_xlfn.XMATCH(_xlpm.rcn,_xlfn.TAKE(_xlpm.lut,,1))),_xlpm.Fill,"")),_xlpm.final))</definedName>
    <definedName name="BlockOutMap">_xlfn.LAMBDA(_xlpm.mp,_xlpm.blockers,_xlop.Fill,_xlop.No_Diag,_xlop.Cus_Dir, _xlfn.LET(
   _xlpm.rn, ROW(_xlpm.mp),
   _xlpm.cn, COLUMN(_xlpm.mp),
   _xlpm.m, 10 ^ 6,
   _xlpm.rcn, _xlpm.rn * _xlpm.m + _xlpm.cn,
   _xlpm.dir, {-1000000,-1,1,1000000,-1000001,-999999,999999,1000001},
   _xlpm.xRC, IF(_xlfn.ISOMITTED(_xlpm.Cus_Dir), _xlfn.TAKE(_xlpm.dir, , 8 - 4 * _xlpm.No_Diag), _xlfn.TOROW(_xlpm.Cus_Dir, 3)),
   _xlpm.blc, _xlfn.TOCOL(IF(_xlfn.XMATCH(_xlpm.mp, _xlfn.TAKE(_xlpm.blockers, , 1)), _xlpm.rcn, ""), 3),
   _xlpm.rblc, VLOOKUP(
      INDEX(_xlpm.mp, INT(_xlpm.blc / _xlpm.m) - _xlfn.SINGLE(ROW(_xlpm.mp)) + 1, MOD(_xlpm.blc, _xlpm.m) - _xlfn.SINGLE(COLUMN(_xlpm.mp)) + 1),
      _xlpm.blockers,
      2,
   )
      - 1,
   _xlpm.blitm, _xlfn.TOCOL(IF(_xlfn.XMATCH(_xlpm.rcn, _xlpm.blc), _xlpm.mp), 3),
   _xlpm.tab, _xlfn.HSTACK(_xlpm.blc, _xlpm.rblc, _xlpm.blitm),
   _xlpm.cot, _xlfn._xlws.FILTER(_xlpm.tab, _xlpm.rblc &gt; 0),
   _xlpm.rs, _xlfn.REDUCE(
      1,
      _xlfn.SEQUENCE(ROWS(_xlpm.cot)),
      _xlfn.LAMBDA(_xlpm.t,_xlpm.y, _xlfn.LET(
         _xlpm.co, _xlfn.CHOOSEROWS(_xlpm.cot, _xlpm.y),
         _xlfn.VSTACK(
            _xlpm.t,
            _xlfn.IFNA(
               _xlfn.HSTACK(
                  _xlfn.REDUCE(
                     _xlfn.CONCAT(_xlfn.TAKE(_xlpm.co, , 1)) * 1,
                     _xlfn.SEQUENCE(_xlfn.CONCAT(_xlfn.CHOOSECOLS(_xlpm.co, 2))) * 1,
                     _xlfn.LAMBDA(_xlpm.a,_xlpm.v, _xlfn.LET(
                        _xlpm.b, _xlfn.TOCOL(_xlpm.a + _xlpm.xRC),
                        _xlpm.c, _xlfn._xlws.FILTER(_xlpm.b, ISNA(_xlfn.XMATCH(_xlpm.b, _xlpm.a))),
                        _xlfn.UNIQUE(_xlfn.VSTACK(_xlpm.a, _xlpm.c))
                     ))
                  ),
                  _xlfn.TAKE(_xlpm.co, , -1)
               ),
               _xlfn.TAKE(_xlpm.co, , -1)
            )
         )
      ))
   ),
   _xlpm.lut, _xlfn.VSTACK(
      _xlfn.CHOOSECOLS(_xlfn._xlws.FILTER(_xlpm.tab, _xlfn.CHOOSECOLS(_xlpm.tab, 2) &gt;= 0), 1, 3),
      IFERROR(_xlpm.rs, "")
   ),
   _xlpm.final, IF(
      _xlfn.ISOMITTED(_xlpm.Fill),
      _xlfn.IFNA(VLOOKUP(_xlpm.rcn, _xlpm.lut, 2, ), ""),
      IF(ISNUMBER(_xlfn.XMATCH(_xlpm.rcn, _xlfn.TAKE(_xlpm.lut, , 1))), _xlpm.Fill, "")
   ),
   _xlpm.final
))</definedName>
    <definedName name="BoardGameMove" localSheetId="7">_xlfn.LAMBDA(_xlpm.MoveValue,_xlpm.EndSpace,MOD(_xlpm.MoveValue-1,_xlpm.EndSpace)+1)</definedName>
    <definedName name="BoardGameMove">_xlfn.LAMBDA(_xlpm.MoveValue,_xlpm.EndSpace,MOD(_xlpm.MoveValue-1,_xlpm.EndSpace)+1)</definedName>
    <definedName name="Brow">_xlfn.LAMBDA(_xlpm.ar,_xlpm.fn,_xlpm.pk, _xlfn.LET(
   _xlpm.\\LambdaName, "Brow",
   _xlpm.B, _xlfn.LAMBDA(_xlpm.r,_xlpm.v, _xlfn.LET(
      _xlpm.n, ROWS(_xlpm.v),
      IF(
         _xlpm.n = 1,
         _xlpm.fn(IF(COLUMNS(_xlpm.v) = 1, _xlfn.SINGLE(_xlpm.v), IF(_xlpm.pk, idex(_xlpm.v), _xlpm.v))),
         _xlfn.LET(
            _xlpm.up, _xlpm.r(_xlpm.r, _xlfn.TAKE(_xlpm.v, _xlpm.n / 2)),
            _xlpm.do, _xlpm.r(_xlpm.r, _xlfn.DROP(_xlpm.v, _xlpm.n / 2)),
            _xlpm.ud, _xlfn.VSTACK(IF(ISERROR(_xlpm.up), "", _xlpm.up), IF(ISERROR(_xlpm.do), "", _xlpm.do)),
            IF(ISERROR(_xlpm.ud), "", _xlpm.ud)
         )
      )
   )),
   _xlpm.B(_xlpm.B, _xlpm.ar)
))</definedName>
    <definedName name="ByRectangle" localSheetId="7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ByRectangle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CardDetails" localSheetId="7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rdDetails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seQuestions" localSheetId="7">_xlfn.LAMBDA(_xlop.StartQ,_xlop.EndQ,_xlfn.LET(_xlpm.questions,_xlfn.TRIMRANGE(_xlfn._xlws.FILTER(INDIRECT("Case!$B:$EE"),ISNUMBER(INDIRECT("Case!$B:$B")))), _xlpm.rs,IF(_xlpm.questions=0,NA(),_xlpm.questions),  _xlpm.QNumbersOnly,IF(_xlfn.ISOMITTED(_xlpm.StartQ),_xlpm.rs,_xlfn._xlws.FILTER(_xlpm.questions,(_xlfn.CHOOSECOLS(_xlpm.rs,2)&gt;=_xlpm.StartQ)*(_xlfn.CHOOSECOLS(_xlpm.rs,2)&lt;=IF(_xlfn.ISOMITTED(_xlpm.EndQ),20,_xlpm.EndQ)))), _xlfn.DROP(_xlpm.QNumbersOnly,,5)))</definedName>
    <definedName name="CaseQuestions">_xlfn.LAMBDA(_xlop.StartQ,_xlop.EndQ, _xlfn.LET(
   _xlpm.questions, _xlfn.TRIMRANGE(
      _xlfn._xlws.FILTER(INDIRECT("Case!$B:$EE"), ISNUMBER(INDIRECT("Case!$B:$B")))
   ),
   _xlpm.rs, IF(_xlpm.questions = 0, NA(), _xlpm.questions),
   _xlpm.QNumbersOnly, IF(
      _xlfn.ISOMITTED(_xlpm.StartQ),
      _xlpm.rs,
      _xlfn._xlws.FILTER(
         _xlpm.questions,
         (_xlfn.CHOOSECOLS(_xlpm.rs, 2) &gt;= _xlpm.StartQ)
            * (_xlfn.CHOOSECOLS(_xlpm.rs, 2) &lt;= IF(_xlfn.ISOMITTED(_xlpm.EndQ), 8, _xlpm.EndQ))
      )
   ),
   _xlfn.DROP(_xlpm.QNumbersOnly, , 5)
))</definedName>
    <definedName name="cell_arround" localSheetId="7">_xlfn.LAMBDA(_xlpm.Input1, _xlfn.LET(
   _xlpm.\\LambdaName, "cell_arround",
   _xlpm._Rw, 'Lz_Chess Lab'!N_ROWOFCELLREF(_xlpm.Input1),
   _xlpm._Col, 'Lz_Chess Lab'!N_COLOFCELLREF(_xlpm.Input1),
   _xlpm._Rw_2, _xlpm._Rw + {-1;1},
   _xlpm._Cl, _xlpm._Rw + {-1;1},
   _xlpm._Result, _xlfn.VSTACK(ADDRESS(_xlpm._Rw_2, _xlpm._Col, 4), ADDRESS(_xlpm._Rw, _xlpm._Cl, 4)),
   _xlpm._Result
))</definedName>
    <definedName name="cell_arround">_xlfn.LAMBDA(_xlpm.Input1, _xlfn.LET(
   _xlpm.\\LambdaName, "cell_arround",
   _xlpm._Rw, N_ROWOFCELLREF(_xlpm.Input1),
   _xlpm._Col, N_COLOFCELLREF(_xlpm.Input1),
   _xlpm._Rw_2, _xlpm._Rw + {-1;1},
   _xlpm._Cl, _xlpm._Rw + {-1;1},
   _xlpm._Result, _xlfn.VSTACK(ADDRESS(_xlpm._Rw_2, _xlpm._Col, 4), ADDRESS(_xlpm._Rw, _xlpm._Cl, 4)),
   _xlpm._Result
))</definedName>
    <definedName name="ClosestOnMap" localSheetId="7">_xlfn.LAMBDA(_xlpm.mp,_xlpm.st,_xlpm.Steps,_xlop.No_Diag,_xlop.Items,_xlop.RCaa_CRaa_RCad_CRad_RCda_CRda_RCdd_CRdd,_xlfn.LET(_xlpm.o,_xlpm.RCaa_CRaa_RCad_CRad_RCda_CRda_RCdd_CRdd,_xlpm.mr,ROWS(_xlpm.mp),_xlpm.mc,COLUMNS(_xlpm.mp),    _xlpm.vs,INDEX(_xlpm.mp,MAX('Lz_Chess Lab'!RowNum(_xlpm.st)-MIN(ROW(_xlpm.mp))+1-_xlpm.Steps,1),MAX('Lz_Chess Lab'!ColNum(_xlpm.st)-MIN(COLUMN(_xlpm.mp))+1-_xlpm.Steps,1)):INDEX(_xlpm.mp,MIN('Lz_Chess Lab'!RowNum(_xlpm.st)-MIN(ROW(_xlpm.mp))+1+_xlpm.Steps,_xlpm.mr),MIN('Lz_Chess Lab'!ColNum(_xlpm.st)-MIN(COLUMN(_xlpm.mp))+1+_xlpm.Steps,_xlpm.mc)),    _xlpm.ad,_xlfn.TOCOL('Lz_Chess Lab'!AddressOfCells(_xlpm.vs)), _xlpm.rd,'Lz_Chess Lab'!RowNum(_xlpm.ad)-'Lz_Chess Lab'!RowNum(_xlpm.st),_xlpm.cd,'Lz_Chess Lab'!ColNum(_xlpm.ad)-'Lz_Chess Lab'!ColNum(_xlpm.st), _xlpm.td,'Lz_Chess Lab'!Distance(_xlpm.st,_xlpm.ad,_xlpm.No_Diag,_xlpm.No_Diag),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losestOnMap">_xlfn.LAMBDA(_xlpm.mp,_xlpm.st,_xlpm.Steps,_xlop.No_Diag,_xlop.Items,_xlop.RCaa_CRaa_RCad_CRad_RCda_CRda_RCdd_CRdd,_xlfn.LET(_xlpm.o,_xlpm.RCaa_CRaa_RCad_CRad_RCda_CRda_RCdd_CRdd,_xlpm.mr,ROWS(_xlpm.mp),_xlpm.mc,COLUMNS(_xlpm.mp),    _xlpm.vs,INDEX(_xlpm.mp,MAX(RowNum(_xlpm.st)-MIN(ROW(_xlpm.mp))+1-_xlpm.Steps,1),MAX(ColNum(_xlpm.st)-MIN(COLUMN(_xlpm.mp))+1-_xlpm.Steps,1)):INDEX(_xlpm.mp,MIN(RowNum(_xlpm.st)-MIN(ROW(_xlpm.mp))+1+_xlpm.Steps,_xlpm.mr),MIN(ColNum(_xlpm.st)-MIN(COLUMN(_xlpm.mp))+1+_xlpm.Steps,_xlpm.mc)),    _xlpm.ad,_xlfn.TOCOL(AddressOfCells(_xlpm.vs)), _xlpm.rd,RowNum(_xlpm.ad)-RowNum(_xlpm.st),_xlpm.cd,ColNum(_xlpm.ad)-ColNum(_xlpm.st), _xlpm.td,Distance(_xlpm.st,_xlpm.ad,_xlpm.No_Diag,_xlpm.No_Diag),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olNum" localSheetId="7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lNum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mbinations" localSheetId="7">#N/A</definedName>
    <definedName name="Combinations">_xlfn.LAMBDA(_xlpm.Array,_xlpm.c,_xlop.RemoveOrder,_xlop.AllowRepeatItems,_xlop.Cumulative,IFERROR(_xlfn.XLOOKUP(PerCom(COUNTA(_xlpm.Array),_xlpm.c,IF(_xlpm.RemoveOrder=1,1),IF(_xlpm.AllowRepeatItems=1,1),IF(_xlpm.Cumulative=1,1)),_xlfn.TAKE(_xlfn.HSTACK(_xlfn.SEQUENCE(COUNTA(_xlpm.Array)),_xlfn.TOCOL(_xlpm.Array)),,1),_xlfn.TAKE(_xlfn.HSTACK(_xlfn.SEQUENCE(COUNTA(_xlpm.Array)),_xlfn.TOCOL(_xlpm.Array)),,-1)),""))</definedName>
    <definedName name="Consecutives" localSheetId="7">_xlfn.LAMBDA(_xlpm.array,IF(COUNTA(_xlpm.array)&gt;1,_xlfn.SCAN(1,--('Lz_Chess Lab'!Prev(_xlpm.array)=_xlpm.array),_xlfn.LAMBDA(_xlpm.a,_xlpm.v,_xlpm.a*_xlpm.v+1)), _xlfn.SCAN(1,--('Lz_Chess Lab'!Prev('Lz_Chess Lab'!SplitText(_xlpm.array))='Lz_Chess Lab'!SplitText(_xlpm.array)),_xlfn.LAMBDA(_xlpm.a,_xlpm.v,_xlpm.a*_xlpm.v+1))))</definedName>
    <definedName name="Consecutives">_xlfn.LAMBDA(_xlpm.array,IF(COUNTA(_xlpm.array)&gt;1,_xlfn.SCAN(1,--(Prev(_xlpm.array)=_xlpm.array),_xlfn.LAMBDA(_xlpm.a,_xlpm.v,_xlpm.a*_xlpm.v+1)), _xlfn.SCAN(1,--(Prev(SplitText(_xlpm.array))=SplitText(_xlpm.array)),_xlfn.LAMBDA(_xlpm.a,_xlpm.v,_xlpm.a*_xlpm.v+1))))</definedName>
    <definedName name="CountOcc" localSheetId="7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CountOcc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DAXCOMB" localSheetId="7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AXCOMB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ice" localSheetId="7">_xlfn.LAMBDA(_xlpm.Dice,_xlop.add,_xlop.join, _xlfn.LET(_xlpm.end,_xlfn.MAP(_xlpm.Dice,_xlfn.LAMBDA(_xlpm.a,_xlfn.LET(_xlpm.l,IFERROR('Lz_Chess Lab'!SplitText(_xlpm.a),""),_xlpm.m,IF(_xlpm.add,0,IF(_xlpm.join,"",_xlpm.l)),_xlpm.rs,IFERROR(_xlfn.XLOOKUP(_xlpm.l,{"⚀";"⚁";"⚂";"⚃";"⚄";"⚅"},{1;2;3;4;5;6}),_xlpm.m),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ce">_xlfn.LAMBDA(_xlpm.Dice,_xlop.add,_xlop.join, _xlfn.LET(_xlpm.end,_xlfn.MAP(_xlpm.Dice,_xlfn.LAMBDA(_xlpm.a,_xlfn.LET(_xlpm.l,IFERROR(SplitText(_xlpm.a),""),_xlpm.m,IF(_xlpm.add,0,IF(_xlpm.join,"",_xlpm.l)),_xlpm.rs,IFERROR(_xlfn.XLOOKUP(_xlpm.l,{"⚀";"⚁";"⚂";"⚃";"⚄";"⚅"},{1;2;3;4;5;6}),_xlpm.m),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stance" localSheetId="7">_xlfn.LAMBDA(_xlpm.start,_xlpm.end,_xlop.h,_xlop.v,_xlop.d,_xlop.pythag,_xlop.knight,   _xlfn.LET(_xlpm.rd,ABS('Lz_Chess Lab'!RowNum(_xlpm.start)-'Lz_Chess Lab'!RowNum(_xlpm.end)),_xlpm.cd,ABS('Lz_Chess Lab'!ColNum(_xlpm.start)-'Lz_Chess Lab'!ColNum(_xlpm.end)),_xlpm.dd,_xlfn.MAP(_xlfn.HSTACK(_xlpm.rd),_xlfn.HSTACK(_xlpm.cd),_xleta.MAX),_xlpm.md,_xlfn.MAP(_xlfn.HSTACK(_xlpm.rd),_xlfn.HSTACK(_xlpm.cd),_xleta.MIN),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ance">_xlfn.LAMBDA(_xlpm.start,_xlpm.end,_xlop.h,_xlop.v,_xlop.d,_xlop.pythag,_xlop.knight,   _xlfn.LET(_xlpm.rd,ABS(RowNum(_xlpm.start)-RowNum(_xlpm.end)),_xlpm.cd,ABS(ColNum(_xlpm.start)-ColNum(_xlpm.end)),_xlpm.dd,_xlfn.MAP(_xlfn.HSTACK(_xlpm.rd),_xlfn.HSTACK(_xlpm.cd),_xleta.MAX),_xlpm.md,_xlfn.MAP(_xlfn.HSTACK(_xlpm.rd),_xlfn.HSTACK(_xlpm.cd),_xleta.MIN),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INCTCOUNT" localSheetId="7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DISTINCTCOUNT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Exists" localSheetId="7">_xlfn.LAMBDA(_xlpm.Item,_xlpm.List,_xlop.SearchMode,ISNUMBER(IF(_xlpm.SearchMode,_xleta.SEARCH,_xleta.XMATCH)(_xlpm.Item,_xlpm.List)))</definedName>
    <definedName name="Exists">_xlfn.LAMBDA(_xlpm.Item,_xlpm.List,_xlop.SearchMode,
   ISNUMBER(IF(_xlpm.SearchMode, _xleta.SEARCH, _xleta.XMATCH)(_xlpm.Item, _xlpm.List))
)</definedName>
    <definedName name="ExtractNumbers" localSheetId="7">_xlfn.LAMBDA(_xlpm.text,_xlop.With_Decimals,_xlfn.REGEXEXTRACT(_xlpm.text,IF(_xlfn.ISOMITTED(_xlpm.With_Decimals),"[-+]?\d+","[-+]?\d*\.\d+|[-+]?\d+"),1)*1)</definedName>
    <definedName name="ExtractNumbers">_xlfn.LAMBDA(_xlpm.text,_xlop.With_Decimals,_xlfn.REGEXEXTRACT(_xlpm.text,IF(_xlfn.ISOMITTED(_xlpm.With_Decimals),"[-+]?\d+","[-+]?\d*\.\d+|[-+]?\d+"),1)*1)</definedName>
    <definedName name="Find_In_Map" localSheetId="7">_xlfn.LAMBDA(_xlpm.mp,_xlpm.items,_xlfn.LET(_xlpm.a,'Lz_Chess Lab'!Flatten(_xlpm.mp),_xlpm.incells,_xlfn.TAKE(_xlpm.a,,-1),_xlpm.addresses,_xlfn.TAKE(_xlpm.a,,1),_xlfn._xlws.FILTER(_xlpm.addresses,ISNUMBER(_xlfn.XMATCH(_xlpm.incells,_xlpm.items)),"Not Found")))</definedName>
    <definedName name="Find_In_Map">_xlfn.LAMBDA(_xlpm.mp,_xlpm.items,_xlfn.LET(_xlpm.a,Flatten(_xlpm.mp),_xlpm.incells,_xlfn.TAKE(_xlpm.a,,-1),_xlpm.addresses,_xlfn.TAKE(_xlpm.a,,1),_xlfn._xlws.FILTER(_xlpm.addresses,ISNUMBER(_xlfn.XMATCH(_xlpm.incells,_xlpm.items)),"Not Found")))</definedName>
    <definedName name="Flatten" localSheetId="7">_xlfn.LAMBDA(_xlpm.array,_xlop.scan_by_column,_xlop.include_blanks,_xlfn.LET(_xlpm.celladdresses,'Lz_Chess Lab'!AddressOfCells(_xlpm.array),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latten">_xlfn.LAMBDA(_xlpm.array,_xlop.scan_by_column,_xlop.include_blanks,_xlfn.LET(_xlpm.celladdresses,AddressOfCells(_xlpm.array),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old" localSheetId="7">_xlfn.LAMBDA(_xlpm.array,_xlpm.dir,_xlpm.keep_ol_vals?,_xlpm.fold?,_xlpm.fill_with,_xlfn.LET(_xlpm._Ar, _xlpm.array, _xlpm._Rw, ROWS(_xlpm._Ar), _xlpm._Cl, COLUMNS(_xlpm._Ar), _xlpm._Rwsq, IF(ISNUMBER(SEARCH(_xlpm.dir, "↖↘")), _xlfn.SEQUENCE(, _xlpm._Rw, _xlpm._Rw, -1), IF(ISNUMBER(SEARCH(_xlpm.dir, "↙↗")), _xlfn.SEQUENCE(, _xlpm._Rw), IF(ISNUMBER(SEARCH(_xlpm.dir, "↑↓")), _xlfn.SEQUENCE(_xlpm._Rw, , _xlpm._Rw, -1), IF(ISNUMBER(SEARCH(_xlpm.dir, "←→")), _xlfn.SEQUENCE(_xlpm._Rw), "n/a")))), _xlpm._Clsq, IF(ISNUMBER(SEARCH(_xlpm.dir, "↖↘")), _xlfn.SEQUENCE(_xlpm._Cl, , _xlpm._Cl, -1), IF(ISNUMBER(SEARCH(_xlpm.dir, "↙↗")), _xlfn.SEQUENCE(_xlpm._Cl), IF(ISNUMBER(SEARCH(_xlpm.dir, "↑↓")), _xlfn.SEQUENCE(, _xlpm._Cl), IF(ISNUMBER(SEARCH(_xlpm.dir, "←→")), _xlfn.SEQUENCE(, _xlpm._Cl, _xlpm._Cl, -1), "n/a")))), _xlpm._RevArr, INDEX(_xlpm._Ar, _xlpm._Rwsq, _xlpm._Clsq), _xlpm._Valid, IF(ISNUMBER(SEARCH(_xlpm.dir, "↖↘")), _xlfn.LET(_xlpm.a, _xlpm._Rwsq + _xlpm._Clsq, IF(_xlpm.dir = "↘", N(_xlpm.a &lt;= MEDIAN(_xlpm.a)), N(_xlpm.a &gt;= MEDIAN(_xlpm.a)))), IF(ISNUMBER(SEARCH(_xlpm.dir, "↙↗")), _xlfn.LET(_xlpm.a, _xlpm._Rwsq - _xlpm._Clsq, IF(_xlpm.dir = "↙", N(_xlpm.a &lt;= 0), N(_xlpm.a &gt;= 0))), IF(ISNUMBER(SEARCH(_xlpm.dir, "↑↓")), _xlfn.LET(_xlpm.a, _xlpm._Rwsq - _xlpm._Clsq, IF(_xlpm.dir = "↑", N(_xlpm._Rwsq &gt;= MEDIAN(_xlpm._Rwsq)) * N(_xlpm._Clsq &gt; 0), N(_xlpm._Rwsq &lt;= MEDIAN(_xlpm._Rwsq)) * N(_xlpm._Clsq &gt; 0))), IF(ISNUMBER(SEARCH(_xlpm.dir, "←→")), _xlfn.LET(_xlpm.a, _xlpm._Rwsq - _xlpm._Clsq, IF(_xlpm.dir = "←", N(_xlpm._Clsq &gt;= MEDIAN(_xlpm._Clsq)) * N(_xlpm._Rwsq &gt; 0), N(_xlpm._Clsq &lt;= MEDIAN(_xlpm._Clsq)) * N(_xlpm._Rwsq &gt; 0))), "X")))), _xlpm._Result, IF(OR(_xlfn.ISOMITTED(_xlpm.fold?), AND(ISBLANK(_xlpm.fold?))), _xlpm._RevArr, IF(_xlpm._Valid, _xlpm._RevArr, IF(OR(_xlfn.ISOMITTED(_xlpm.fill_with), AND(ISBLANK(_xlpm.fill_with))), 0, _xlpm.fill_with))), _xlpm._Result_2, IF(_xlfn.ISOMITTED(_xlpm.keep_ol_vals?), _xlpm._Result, IF(_xlpm._Valid * (_xlpm._Ar &gt; 0) * (_xlpm._Result = 0), _xlpm._Ar, _xlpm._Result)), _xlpm._Result_2))</definedName>
    <definedName name="Fold">_xlfn.LAMBDA(_xlpm.array,_xlpm.dir,_xlpm.keep_ol_vals?,_xlpm.fold?,_xlpm.fill_with, _xlfn.LET(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Ha_Num2Word">_xlfn.LAMBDA(_xlpm.number,_xlop.ignore_decimals,_xlop.simple_version,_xlop.no_and, _xlfn.LET(
   _xlpm.\\LambdaName, "Ha_Num2Word",
   _xlpm.digits, {"zero";"one";"two";"three";"four";"five";"six";"seven";"eight";"nine"},
   _xlpm.isNeg, IF(LEFT(_xlpm.number) = "-", "minus ", ""),
   _xlpm.ten2nt, {"ten";"eleven";"twelve";"thirteen";"fourteen";"fifteen";"sixteen";"seventeen";"eighteen";"nineteen"},
   _xlpm.tens, {"twenty","thirty","forty","fifty","sixty","seventy","eighty","ninety"},
   _xlpm.abso, IF(_xlpm.isNeg &lt;&gt; "", RIGHT(_xlpm.number, LEN(_xlpm.number) - 1), _xlpm.number),
   _xlpm.groups, {"";" thousand";" million";" billion";" trillion"},
   _xlpm.SINGLES, _xlfn.LAMBDA(_xlpm.d,
      _xlfn.TEXTJOIN(" ", , INDEX(_xlpm.digits, MID(_xlpm.d, _xlfn.SEQUENCE(LEN(_xlpm.d)), 1) + 1))
   ),
   _xlpm.GROUP2, _xlfn.LAMBDA(_xlpm.d,
      IF(
         LEFT(_xlpm.d) = "0",
         _xlpm.SINGLES(RIGHT(_xlpm.d)),
         IF(
            LEFT(_xlpm.d) = "1",
            INDEX(_xlpm.ten2nt, RIGHT(_xlpm.d) + 1),
            INDEX(_xlpm.tens, LEFT(_xlpm.d) - 1)
               &amp; IF(RIGHT(_xlpm.d) = "0", "", "-" &amp; _xlpm.SINGLES(RIGHT(_xlpm.d)))
         )
      )
   ),
   _xlpm.GROUP3, _xlfn.LAMBDA(_xlpm.d,
      IF(
         LEFT(_xlpm.d) = "0",
         _xlpm.GROUP2(RIGHT(_xlpm.d, 2)),
         INDEX(_xlpm.digits, LEFT(_xlpm.d) + 1) &amp; " hundred"
            &amp; IF(RIGHT(_xlpm.d, 2) = "00", "", " and " &amp; _xlpm.GROUP2(RIGHT(_xlpm.d, 2)))
      )
   ),
   _xlpm.decPart, IF(_xlpm.ignore_decimals, "", IFERROR(_xlpm.SINGLES(_xlfn.TEXTAFTER(_xlpm.abso, ".")), "")),
   _xlpm.intPart, _xlfn.TEXTBEFORE(_xlpm.abso, ".", , , , _xlpm.abso),
   _xlpm.mainPart, IF(
      _xlpm.simple_version,
      _xlpm.isNeg &amp; _xlpm.SINGLES(_xlpm.intPart),
      _xlfn.LET(
         _xlpm.padded, REPT("0", MOD(3 - MOD(LEN(_xlpm.intPart), 3), 3)) &amp; _xlpm.intPart,
         _xlpm.splits, MID(_xlpm.padded, ((_xlfn.SEQUENCE(_xlfn.SINGLE(LEN(_xlpm.padded)) / 3)) - 1) * 3 + 1, 3),
         _xlpm.layers, ROWS(_xlpm.splits),
         _xlpm.naive, _xlfn.BYROW(
            _xlfn.SEQUENCE(_xlpm.layers),
            _xlfn.LAMBDA(_xlpm.x, _xlpm.GROUP3(INDEX(_xlpm.splits, _xlpm.x)) &amp; INDEX(_xlpm.groups, _xlpm.layers + 1 - _xlpm.x))
         ),
         _xlpm.beforeJoined, IF(
            _xlpm.layers = 1,
            _xlpm.naive,
            _xlfn.LET(
               _xlpm.noZero, IF(LEFT(_xlpm.naive, 4) = "zero", "", _xlpm.naive),
               _xlpm.last, _xlfn.SINGLE(_xlfn.TAKE(_xlpm.noZero, -1)),
               _xlpm.out, IF(
                  ISNUMBER(SEARCH(" and ", _xlpm.last)),
                  _xlpm.noZero,
                  _xlfn.VSTACK(
                     _xlfn.DROP(_xlpm.noZero, -1),
                     IF(
                        OR(_xlpm.last = "", LEFT(_xlfn.SINGLE(_xlfn.TAKE(_xlpm.splits, -1))) &lt;&gt; "0"),
                        "",
                        "and "
                     )
                        &amp; _xlpm.last
                  )
               ),
               _xlpm.out
            )
         ),
         _xlpm.isNeg &amp; _xlfn.TEXTJOIN(" ", 1, _xlpm.beforeJoined)
      )
   ),
   _xlpm.output, IF(_xlpm.no_and, SUBSTITUTE(_xlpm.mainPart, " and", ""), _xlpm.mainPart)
      &amp; IF(_xlpm.decPart = "", "", " point " &amp; _xlpm.decPart),
   _xlpm.output
))</definedName>
    <definedName name="Hd_Snake">_xlfn.LAMBDA(_xlpm.Array,_xlop.ByCol,_xlop.StartRorC,_xlop.SwapEvery,_xlop.AddressMoves, _xlfn.LET(
   _xlpm.\\LambdaName, "Hd_Snake",
   _xlpm.a, _xlpm.Array,
   _xlpm.r, ROWS(_xlpm.a),
   _xlpm.c, COLUMNS(_xlpm.a),
   _xlpm.st, IF(_xlpm.StartRorC, _xlpm.StartRorC, IF(_xlpm.SwapEvery, _xlpm.SwapEvery, 2)),
   _xlpm.sw, IF(_xlpm.SwapEvery, _xlpm.SwapEvery, MAX(_xlpm.st, 2)),
   _xlpm.rs, _xlfn.LAMBDA(_xlpm.x,
      IF(
         _xlpm.ByCol,
         IF(MOD(_xlfn.SEQUENCE(, _xlpm.c) - _xlpm.st, _xlpm.sw) = 0, _xlfn.SORTBY(_xlpm.a, _xlfn.SEQUENCE(_xlpm.r, , _xlpm.r, -1)), _xlpm.x),
         IF(MOD(_xlfn.SEQUENCE(_xlpm.r) - _xlpm.st, _xlpm.sw) = 0, _xlfn.SORTBY(_xlpm.x, _xlfn.SEQUENCE(, _xlpm.c, _xlpm.c, -1)), _xlpm.x)
      )
   ),
   IF(
      _xlfn.ISOMITTED(_xlpm.AddressMoves),
      _xlpm.rs(_xlpm.a),
      _xlfn.LET(
         _xlpm.oad, AddressOfCells(_xlpm.a),
         _xlpm.nad, _xlpm.rs(_xlpm.oad),
         _xlpm.sr, _xlfn.SINGLE(ROW(_xlpm.a)),
         _xlpm.sc, _xlfn.SINGLE(COLUMN(_xlpm.a)),
         _xlpm.out, _xlfn.MAP(
            _xlpm.AddressMoves,
            _xlfn.LAMBDA(_xlpm.y,
               _xlfn.CONCAT(
                  IF(
                     _xlpm.nad = _xlpm.y,
                     _xlfn.MAKEARRAY(
                        ROWS(_xlpm.nad),
                        COLUMNS(_xlpm.nad),
                        _xlfn.LAMBDA(_xlpm.r,_xlpm.c, ADDRESS(_xlpm.r + _xlpm.sr - 1, _xlpm.c + _xlpm.sc - 1, 4))
                     ),
                     ""
                  )
               )
            )
         ),
         _xlpm.out
      )
   )
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Longaddition" localSheetId="7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ongaddition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z_Add_Range" localSheetId="7">_xlfn.LAMBDA(_xlpm.range, _xlfn.LET(    _xlpm.\\LambdaName, "Lz_Add_range",    ADDRESS(ROW(_xlpm.range), COLUMN(_xlpm.range), 4) ))</definedName>
    <definedName name="Lz_Add_Range">_xlfn.LAMBDA(_xlpm.range, _xlfn.LET(    _xlpm.\\LambdaName, "Lz_Add_range",    ADDRESS(ROW(_xlpm.range), COLUMN(_xlpm.range), 4) ))</definedName>
    <definedName name="Lz_Adjacent" localSheetId="7">_xlfn.LAMBDA(_xlpm.Start,_xlop.Radius,_xlop._Square1Losange2Cercle3,_xlop.ShowDist,_xlop.WithCenter,_xlop.mp,_xlop.view, _xlfn.LET(
   _xlpm.\\LambdaName, "Lz_Adjacent",
   _xlpm._R, _xlfn.REGEXEXTRACT(_xlpm.Start, "\d+") * 1,
   _xlpm._C, COLUMN(INDIRECT(_xlpm.Start)),
   _xlpm._Radius, IF(_xlfn.ISOMITTED(_xlpm.Radius), 1, _xlpm.Radius),
   _xlpm._View, IF(_xlfn.ISOMITTED(_xlpm.view), 0, _xlpm.view),
   _xlpm._Type, IF(_xlfn.ISOMITTED(_xlpm._Square1Losange2Cercle3), 1, _xlpm._Square1Losange2Cercle3),
   _xlpm._Dist, IF(_xlfn.ISOMITTED(_xlpm.ShowDist), 0, _xlpm.ShowDist),
   _xlpm._WithCenter, IF(_xlfn.ISOMITTED(_xlpm.WithCenter), 0, _xlpm.WithCenter),
   _xlpm._mp, IF(_xlfn.ISOMITTED(_xlpm.mp), NA(), 'Lz_Chess Lab'!Lz_Add_Range(_xlpm.mp)),
   _xlpm._Minr, _xlfn.IFNA(MIN(ROW(INDIRECT(_xlpm._mp))), 1),
   _xlpm._Minc, _xlfn.IFNA(MIN(COLUMN(INDIRECT(_xlpm._mp))), 1),
   _xlpm._Maxr, _xlfn.IFNA(MAX(ROW(INDIRECT(_xlpm._mp))), 10000000),
   _xlpm._Maxc, _xlfn.IFNA(MAX(COLUMN(INDIRECT(_xlpm._mp))), 10000),
   _xlpm._Step5, _xlfn.LET(
      _xlpm.sq, _xlfn.SEQUENCE(_xlpm._Radius * 2 + 1, , _xlpm._R - _xlpm._Radius),
      _xlfn._xlws.FILTER(_xlpm.sq, (_xlpm.sq &gt;= _xlpm._Minr) * (_xlpm.sq &lt;= _xlpm._Maxr))
   ),
   _xlpm._Step6, _xlfn.LET(
      _xlpm.sq, _xlfn.SEQUENCE(, _xlpm._Radius * 2 + 1, _xlpm._C - _xlpm._Radius),
      _xlfn._xlws.FILTER(_xlpm.sq, (_xlpm.sq &gt;= _xlpm._Minc) * (_xlpm.sq &lt;= _xlpm._Maxc))
   ),
   _xlpm._Step7, ADDRESS(_xlpm._Step5, _xlpm._Step6, 4),
   _xlpm._Step8, _xlfn.MAP(_xlpm._Step7, _xlfn.LAMBDA(_xlpm.ad, 'Lz_Chess Lab'!Lz_Distance(_xlpm.Start, _xlpm.ad, _xlpm._Type))),
   _xlpm._Step9, --(_xlpm._Step8 &lt;= _xlpm._Radius),
   _xlpm._Step10, IF(_xlpm._Step9, _xlpm._Step7, NA()),
   _xlpm._Step11, _xlfn.TOCOL(IF(_xlpm._Step9, _xlpm._Step8, NA()), 3),
   _xlpm._Step12, _xlfn.TOCOL(_xlpm._Step10, 3),
   _xlpm._Step13, _xlfn._xlws.SORT(_xlpm._Step11),
   _xlpm._Step14, _xlfn.SORTBY(_xlpm._Step12, _xlpm._Step11),
   _xlpm._Step15, IF(_xlpm._Dist, _xlfn.HSTACK(_xlpm._Step14, _xlpm._Step13), _xlpm._Step14),
   _xlpm._Result, IF(_xlpm._View, IF(_xlpm._Step9, _xlpm._Step7, ""), IF(_xlpm._WithCenter, _xlpm._Step15, _xlfn.DROP(_xlpm._Step15, 1))),
   _xlpm._Result
))</definedName>
    <definedName name="Lz_Adjacent">_xlfn.LAMBDA(_xlpm.Start,_xlop.Radius,_xlop._Square1Losange2Cercle3Cross4Plus5,_xlop.ShowDist,_xlop.WithCenter,_xlop.mp,_xlop.view, _xlfn.LET(
   _xlpm.\\LambdaName, "Lz_Adjacent",
   _xlpm._R, RowNum(_xlpm.Start),
   _xlpm._C, ColNum(_xlpm.Start),
   _xlpm._Radius, IF(_xlfn.ISOMITTED(_xlpm.Radius), 1, _xlpm.Radius),
   _xlpm._View, IF(_xlfn.ISOMITTED(_xlpm.view), 0, _xlpm.view),
   _xlpm._Type, IF(_xlfn.ISOMITTED(_xlpm._Square1Losange2Cercle3Cross4Plus5), 1, _xlpm._Square1Losange2Cercle3Cross4Plus5),
   _xlpm._Dist, IF(_xlfn.ISOMITTED(_xlpm.ShowDist), 0, _xlpm.ShowDist),
   _xlpm._WithCenter, IF(_xlfn.ISOMITTED(_xlpm.WithCenter), 0, _xlpm.WithCenter),
   _xlpm._mp, IF(_xlfn.ISOMITTED(_xlpm.mp), NA(), Lz_Add_Range(_xlpm.mp)),
   _xlpm._Minr, _xlfn.SINGLE(IF(
      ISNA(_xlpm._mp),
      MAX(1, _xlpm._R - _xlpm._Radius),
      MEDIAN(MIN(RowNum(_xlpm._mp)), _xlpm._R - _xlpm._Radius, MAX(RowNum(_xlpm._mp)))
   )),
   _xlpm._Minc, _xlfn.SINGLE(IF(
      ISNA(_xlpm._mp),
      MAX(1, _xlpm._C - _xlpm._Radius),
      MEDIAN(MIN(ColNum(_xlpm._mp)), _xlpm._C - _xlpm._Radius, MAX(ColNum(_xlpm._mp)))
   )),
   _xlpm._Maxr, _xlfn.SINGLE(IF(
      _xlfn.SINGLE(ISNA(_xlpm._mp)),
      MIN(1000000, _xlpm._R + _xlpm._Radius),
      MEDIAN(MIN(RowNum(_xlpm._mp)), _xlpm._R + _xlpm._Radius, MAX(RowNum(_xlpm._mp)))
   )),
   _xlpm._Maxc, _xlfn.SINGLE(IF(
      ISNA(_xlpm._mp),
      MIN(10000, _xlpm._C + _xlpm._Radius),
      MEDIAN(MIN(ColNum(_xlpm._mp)), _xlpm._C + _xlpm._Radius, MAX(ColNum(_xlpm._mp)))
   )),
   _xlpm._sq1, Lz_SequenceFromTo(_xlpm._Minr, _xlpm._Maxr),
   _xlpm._sq2, Lz_SequenceFromTo(_xlpm._Minc, _xlpm._Maxc, 1),
   _xlpm._Add, ADDRESS(_xlpm._sq1, _xlpm._sq2, 4),
   _xlpm._ResDist, _xlfn.MAP(_xlpm._Add, _xlfn.LAMBDA(_xlpm.ad, Lz_Distance(_xlpm.Start, _xlpm.ad, IF(_xlpm._Type &gt; 3, 1, _xlpm._Type)))),
   _xlpm._u, --(_xlpm._sq1 + _xlpm._sq2 = _xlpm._R + _xlpm._C),
   _xlpm._d, --(_xlpm._sq1 - _xlpm._sq2 = _xlpm._R - _xlpm._C),
   _xlpm._h, ((Lz_SequenceFromTo(_xlpm._Minr, _xlpm._Maxr) = _xlpm._R)),
   _xlpm._v, ((Lz_SequenceFromTo(_xlpm._Minc, _xlpm._Maxc, 1) = _xlpm._C)),
   _xlpm._X, --(_xlpm._u + _xlpm._d &gt; 0),
   _xlpm._Pl, --(_xlpm._h + _xlpm._v &gt; 0),
   _xlpm._Type123, --(_xlpm._ResDist &lt;= _xlpm._Radius),
   _xlpm._ResAllow, IF(_xlpm._Type = 5, _xlpm._Pl, IF(_xlpm._Type = 4, _xlpm._X, _xlpm._Type123)),
   _xlpm._ResAdd, IF(_xlpm._ResAllow, _xlpm._Add, NA()),
   _xlpm._tDist, _xlfn.TOCOL(IF(_xlpm._ResAllow, _xlpm._ResDist, NA()), 3),
   _xlpm._Step12, _xlfn.TOCOL(_xlpm._ResAdd, 3),
   _xlpm._stDist, _xlfn._xlws.SORT(_xlpm._tDist),
   _xlpm._Step14, _xlfn.SORTBY(_xlpm._Step12, _xlpm._tDist),
   _xlpm._Step15, IF(_xlpm._Dist, _xlfn.HSTACK(_xlpm._Step14, _xlpm._stDist), _xlpm._Step14),
   _xlpm._Result, IF(_xlpm._View, IF(_xlpm._ResAllow, _xlpm._Add, ""), IF(_xlpm._WithCenter, _xlpm._Step15, _xlfn.DROP(_xlpm._Step15, 1))),
   _xlpm._Result
))</definedName>
    <definedName name="Lz_Chess">_xlfn.LAMBDA(_xlpm.map,_xlpm.start,_xlpm.piece,_xlop.add?,_xlop.dist?,_xlop.val?,_xlop.view, _xlfn.LET(
   _xlpm.\\LambdaName, "Lz_Chess",
   _xlpm._R, RowNum(_xlpm.start),
   _xlpm._C, ColNum(_xlpm.start),
   _xlpm._Step3, AddressOfCells(_xlpm.map),
   _xlpm._Val, _xlpm.map,
   _xlpm._Add?, IF(_xlfn.ISOMITTED(_xlpm.add?), 0, _xlpm.add?),
   _xlpm._Dist?, IF(_xlfn.ISOMITTED(_xlpm.dist?), 0, _xlpm.dist?),
   _xlpm._Val?, IF(_xlfn.ISOMITTED(_xlpm.val?), 0, _xlpm.val?),
   _xlpm._View, IF(_xlfn.ISOMITTED(_xlpm.view), 0, _xlpm.view),
   _xlpm._Minr, MIN(RowNum(_xlpm._Step3)),
   _xlpm._Maxr, MAX(RowNum(_xlpm._Step3)),
   _xlpm._Minc, MIN(ColNum(_xlpm._Step3)),
   _xlpm._Maxc, MAX(ColNum(_xlpm._Step3)),
   _xlpm._Step13, _xlfn.VSTACK(_xlpm._R - 2, _xlpm._R - 2, _xlpm._R + 2, _xlpm._R + 2, _xlpm._R - 1, _xlpm._R - 1, _xlpm._R + 1, _xlpm._R + 1),
   _xlpm._Step14, _xlpm._R - 1,
   _xlpm._Step15, _xlpm._R - 1,
   _xlpm._Step16, _xlpm._R + 1,
   _xlpm._Step17, _xlpm._R + 1,
   _xlpm._Step18, _xlfn.VSTACK(_xlpm._C - 1, _xlpm._C + 1, _xlpm._C - 1, _xlpm._C + 1, _xlpm._C - 2, _xlpm._C + 2, _xlpm._C - 2, _xlpm._C + 2),
   _xlpm._Step19, _xlpm._C - 1,
   _xlpm._Step20, _xlpm._C + 1,
   _xlpm._Step21, _xlpm._C - 1,
   _xlpm._Step22, _xlpm._C + 1,
   _xlpm._Step23_1, IF(_xlpm._Add?, 1, 0),
   _xlpm._Step24, IF(_xlpm._Dist?, 2, 0),
   _xlpm._Step25, IF(_xlpm._Val?, 3, 0),
   _xlpm._Add, Lz_SeqenceFromTo(MEDIAN(_xlpm._Minr, _xlpm._R - 1, _xlpm._Maxr), MEDIAN(_xlpm._Minr, _xlpm._R + 1, _xlpm._Maxr)),
   _xlpm._Step27, Lz_SeqenceFromTo(_xlpm._Minr, _xlpm._Maxr),
   _xlpm._Add_2, Lz_SeqenceFromTo(MEDIAN(_xlpm._Minc, _xlpm._C - 1, _xlpm._Maxc), MEDIAN(_xlpm._Minc, _xlpm._C + 1, _xlpm._Maxc), 1),
   _xlpm._Step29, Lz_SeqenceFromTo(_xlpm._Minc, _xlpm._Maxc, 1),
   _xlpm._Step30, ADDRESS(_xlpm._Add, _xlpm._Add_2, 4),
   _xlpm._Rook, --(((_xlpm._Step27 = _xlpm._R) + (_xlpm._Step29 = _xlpm._C)) &gt; 0),
   _xlpm._Bishop, --((_xlpm._Step29 - _xlpm._Step27 = _xlpm._C - _xlpm._R) + (_xlpm._Step29 + _xlpm._Step27 = _xlpm._R + _xlpm._C) &gt; 0),
   _xlpm._Addresse, ADDRESS(_xlpm._Step27, _xlpm._Step29, 4),
   _xlpm._Step34, _xlfn.TOCOL(_xlpm._Step30),
   _xlpm._Step35, ADDRESS(_xlpm._Step13, _xlpm._Step18, 4),
   _xlpm._Step36, ADDRESS(_xlfn.VSTACK(_xlpm._Step14, _xlpm._Step15), _xlfn.VSTACK(_xlpm._Step19, _xlpm._Step20), 4),
   _xlpm._Step37, ADDRESS(_xlfn.VSTACK(_xlpm._Step16, _xlpm._Step17), _xlfn.VSTACK(_xlpm._Step21, _xlpm._Step22), 4),
   _xlpm._Dist, _xlfn.MAP(_xlpm._Addresse, _xlfn.LAMBDA(_xlpm.u, Lz_Distance(_xlpm.u, _xlpm.start))),
   _xlpm._King, --ISNUMBER(_xlfn.XMATCH(_xlpm._Addresse, _xlpm._Step34)),
   _xlpm._Queen, --(_xlpm._Bishop + _xlpm._Rook &gt; 0),
   _xlpm._Knight, --ISNUMBER(_xlfn.XMATCH(_xlpm._Addresse, _xlpm._Step35)),
   _xlpm._PawWhite, --ISNUMBER(_xlfn.XMATCH(_xlpm._Addresse, _xlpm._Step36)),
   _xlpm._PawBlack, --ISNUMBER(_xlfn.XMATCH(_xlpm._Addresse, _xlpm._Step37)),
   _xlpm._Type, _xlfn.SWITCH(_xlpm.piece,
      "♔", _xlpm._King,
      "♚", _xlpm._King,
      "♕", _xlpm._Queen,
      "♛", _xlpm._Queen,
      "♖", _xlpm._Rook,
      "♜", _xlpm._Rook,
      "♗", _xlpm._Bishop,
      "♝", _xlpm._Bishop,
      "♘", _xlpm._Knight,
      "♞", _xlpm._Knight,
      "♙", _xlpm._PawWhite,
      "♟", _xlpm._PawBlack
   ),
   _xlpm._Rsaddv, IF(_xlpm._Type, _xlpm._Addresse, ""),
   _xlpm._Rsvalv, IF(_xlpm._Type, _xlpm._Val, ""),
   _xlpm._Edist, _xlfn.TOCOL(_xlpm._Type * _xlpm._Dist),
   _xlpm._Eadd, _xlfn.TOCOL(_xlpm._Rsaddv),
   _xlpm._Eval, _xlfn.TOCOL(_xlpm._Rsvalv),
   _xlpm._Fdist, _xlfn._xlws.FILTER(_xlpm._Edist, _xlpm._Edist &lt;&gt; 0),
   _xlpm._Fadd, _xlfn._xlws.FILTER(_xlpm._Eadd, _xlpm._Edist &lt;&gt; 0),
   _xlpm._Fval, _xlfn._xlws.FILTER(_xlpm._Eval, _xlpm._Edist &lt;&gt; 0),
   _xlpm._Res, _xlfn.SORTBY(_xlfn.HSTACK(_xlpm._Fadd, _xlpm._Fdist, _xlpm._Fval), _xlpm._Fdist),
   _xlpm._Result, IF(
      _xlpm._View,
      _xlpm._Rsaddv,
      IF(
         _xlpm._Add? + _xlpm._Dist? + _xlpm._Val?,
         _xlfn.CHOOSECOLS(
            _xlpm._Res,
            _xlfn._xlws.FILTER(_xlfn.HSTACK(_xlpm._Step23_1, _xlpm._Step24, _xlpm._Step25), _xlfn.HSTACK(_xlpm._Step23_1, _xlpm._Step24, _xlpm._Step25) &lt;&gt; 0)
         ),
         _xlfn.CHOOSECOLS(_xlpm._Res, 1)
      )
   ),
   _xlpm._Result
))</definedName>
    <definedName name="Lz_Diagonals">_xlfn.LAMBDA(_xlpm.array,_xlop.add?,_xlop.val?,_xlop.loc?, _xlfn.LET(
   _xlpm.\\LambdaName, "Lz_Diagonals",
   _xlpm._Rws, ROWS(_xlpm.array),
   _xlpm._Cls, COLUMNS(_xlpm.array),
   _xlpm._Step3, IF(_xlfn.ISOMITTED(_xlpm.add?), 1, _xlpm.add?),
   _xlpm._Step4, IF(_xlfn.ISOMITTED(_xlpm.val?), 0, _xlpm.val?),
   _xlpm._Step5, IF(_xlfn.ISOMITTED(_xlpm.loc?), 0, _xlpm.loc?),
   _xlpm._Add, _xlfn.TOCOL(AddressOfCells(_xlpm.array)),
   _xlpm._Val, _xlfn.TOCOL(_xlpm.array),
   _xlpm._Mxrc, MAX(_xlfn.VSTACK(_xlpm._Rws, _xlpm._Cls)),
   _xlpm._Seq, _xlpm._Rws + _xlpm._Cls - 1,
   _xlpm._Step10, IF(_xlpm._Step3, 1, 0),
   _xlpm._Step11, IF(_xlpm._Step4, 2, 0),
   _xlpm._Step12, IF(_xlpm._Step5, 3, 0),
   _xlpm._Minr, MIN(RowNum(_xlpm._Add)),
   _xlpm._Maxr, MAX(RowNum(_xlpm._Add)),
   _xlpm._Minc, MIN(ColNum(_xlpm._Add)),
   _xlpm._Maxc, MAX(ColNum(_xlpm._Add)),
   _xlpm._Rd, _xlfn.SCAN(1, _xlfn.SEQUENCE(_xlpm._Seq, , _xlpm._Minr), _xlfn.LAMBDA(_xlpm.ac,_xlpm.v, MEDIAN(_xlpm._Minr, _xlpm.v, _xlpm._Maxr))),
   _xlpm._Cd, _xlfn.SCAN(1, _xlfn.SEQUENCE(_xlpm._Seq, , _xlpm._Maxc - _xlpm._Seq + 1), _xlfn.LAMBDA(_xlpm.ac,_xlpm.v, MEDIAN(_xlpm._Minc, _xlpm.v, _xlpm._Maxc))),
   _xlpm._Ru, _xlfn.SCAN(1, _xlfn.SEQUENCE(_xlpm._Seq, , _xlpm._Maxr, -1), _xlfn.LAMBDA(_xlpm.ac,_xlpm.v, MEDIAN(_xlpm._Minr, _xlpm.v, _xlpm._Maxr))),
   _xlpm._Cu, _xlfn.SCAN(1, _xlfn.SEQUENCE(_xlpm._Seq, , _xlpm._Maxr - _xlpm._Seq + 1), _xlfn.LAMBDA(_xlpm.ac,_xlpm.v, MEDIAN(_xlpm._Minc, _xlpm.v, _xlpm._Maxc))),
   _xlpm._Rsaddd, _xlfn.MAP(
      _xlfn.SEQUENCE(_xlpm._Seq),
      _xlfn.LAMBDA(_xlpm.u, _xlfn.LET(
         _xlpm.a, ADDRESS(
            _xlfn.SEQUENCE(MAX(_xlpm._Mxrc), , _xlfn.SINGLE(_xlfn.CHOOSEROWS(_xlpm._Rd, _xlpm.u)), -1),
            _xlfn.SEQUENCE(MAX(_xlpm._Mxrc), , _xlfn.SINGLE(_xlfn.CHOOSEROWS(_xlpm._Cd, _xlpm.u)), 1),
            4
         ),
         _xlpm.b, _xlfn._xlws.FILTER(_xlpm.a, NOT(ISERR(_xlpm.a)) * ISNUMBER(_xlfn.XMATCH(_xlpm.a, _xlpm._Add))),
         _xlfn.TEXTJOIN("|", , _xlpm.b)
      ))
   ),
   _xlpm._Rsaddu, _xlfn.MAP(
      _xlfn.SEQUENCE(_xlpm._Seq),
      _xlfn.LAMBDA(_xlpm.u, _xlfn.LET(
         _xlpm.a, ADDRESS(
            _xlfn.SEQUENCE(MAX(_xlpm._Mxrc), , _xlfn.SINGLE(_xlfn.CHOOSEROWS(_xlpm._Ru, _xlpm.u)), 1),
            _xlfn.SEQUENCE(MAX(_xlpm._Mxrc), , _xlfn.SINGLE(_xlfn.CHOOSEROWS(_xlpm._Cu, _xlpm.u)), 1),
            4
         ),
         _xlpm.b, _xlfn._xlws.FILTER(_xlpm.a, NOT(ISERR(_xlpm.a)) * ISNUMBER(_xlfn.XMATCH(_xlpm.a, _xlpm._Add))),
         _xlfn.TEXTJOIN("|", , _xlpm.b)
      ))
   ),
   _xlpm._Step23, _xlfn.VSTACK(_xlpm._Rsaddd, _xlpm._Rsaddu),
   _xlpm._Rsvald, _xlfn.MAP(_xlpm._Rsaddd, _xlfn.LAMBDA(_xlpm.u, _xlfn.TEXTJOIN("|", , _xlfn.XLOOKUP(_xlfn.TEXTSPLIT(_xlpm.u, , "|"), _xlpm._Add, _xlpm._Val)))),
   _xlpm._Locd, IF(_xlpm._Rsaddd &lt;&gt; "", "D"),
   _xlpm._Rsvalu, _xlfn.MAP(_xlpm._Rsaddu, _xlfn.LAMBDA(_xlpm.u, _xlfn.TEXTJOIN("|", , _xlfn.XLOOKUP(_xlfn.TEXTSPLIT(_xlpm.u, , "|"), _xlpm._Add, _xlpm._Val)))),
   _xlpm._Locu, IF(_xlpm._Rsaddu &lt;&gt; "", "U"),
   _xlpm._Step28, _xlfn.VSTACK(_xlpm._Rsvald, _xlpm._Rsvalu),
   _xlpm._Step29, _xlfn.VSTACK(_xlpm._Locd, _xlpm._Locu),
   _xlpm._Result, IF(
      _xlpm._Step3 + _xlpm._Step4 + _xlpm._Step5,
      _xlfn.CHOOSECOLS(
         _xlfn.HSTACK(_xlpm._Step23, _xlpm._Step28, _xlpm._Step29),
         _xlfn._xlws.FILTER(_xlfn.HSTACK(_xlpm._Step10, _xlpm._Step11, _xlpm._Step12), _xlfn.HSTACK(_xlpm._Step10, _xlpm._Step11, _xlpm._Step12) &lt;&gt; 0)
      ),
      _xlpm._Step23
   ),
   _xlpm._Result
))</definedName>
    <definedName name="Lz_Distance" localSheetId="7">_xlfn.LAMBDA(_xlpm._c1,_xlpm._c2,_xlop._Diag1_NoDiag2_Pythag3_Losange4, _xlfn.LET(
   _xlpm.\\LambdaName, "Lz_Distance",
   _xlpm._R, 'Lz_Chess Lab'!RowNum(_xlpm._c1),
   _xlpm._C, 'Lz_Chess Lab'!ColNum(_xlpm._c1),
   _xlpm._Step3, IF(_xlfn.ISOMITTED(_xlpm._Diag1_NoDiag2_Pythag3_Losange4), 1, _xlpm._Diag1_NoDiag2_Pythag3_Losange4),
   _xlpm._Step4, 'Lz_Chess Lab'!RowNum(_xlpm._c2),
   _xlpm._Step5, 'Lz_Chess Lab'!ColNum(_xlpm._c2),
   _xlpm._Dr, ABS(_xlpm._R - _xlpm._Step4),
   _xlpm._Dc, ABS(_xlpm._C - _xlpm._Step5),
   _xlpm._Diag, MAX(_xlfn.VSTACK(_xlpm._Dr, _xlpm._Dc)),
   _xlpm._Nodiag, _xlpm._Dr + _xlpm._Dc,
   _xlpm._Pytha, SQRT(_xlpm._Dr ^ 2 + _xlpm._Dc ^ 2),
   _xlpm._Result, CHOOSE(_xlpm._Step3, _xlpm._Diag, _xlpm._Nodiag, _xlpm._Pytha),
   _xlpm._Result
))</definedName>
    <definedName name="Lz_Distance">_xlfn.LAMBDA(_xlpm._c1,_xlpm._c2,_xlop._Diag1_NoDiag2_Pythag3_Losange4, _xlfn.LET(    _xlpm.\\LambdaName, "Lz_Distance",    _xlpm._R, _xlfn.REGEXEXTRACT(_xlpm._c1, "\d+") * 1,    _xlpm._C, COLUMN(INDIRECT(_xlpm._c1)),    _xlpm._Step3, IF(       _xlfn.ISOMITTED(_xlpm._Diag1_NoDiag2_Pythag3_Losange4),       1,       _xlpm._Diag1_NoDiag2_Pythag3_Losange4    ),    _xlpm._Step4, _xlfn.REGEXEXTRACT(_xlpm._c2, "\d+") * 1,    _xlpm._Step5, COLUMN(INDIRECT(_xlpm._c2)),    _xlpm._Dr, ABS(_xlpm._R - _xlpm._Step4),    _xlpm._Dc, ABS(_xlpm._C - _xlpm._Step5),    _xlpm._Diag, MAX(_xlfn.VSTACK(_xlpm._Dr, _xlpm._Dc)),    _xlpm._Nodiag, _xlpm._Dr + _xlpm._Dc,    _xlpm._Pytha, SQRT(_xlpm._Dr ^ 2 + _xlpm._Dc ^ 2),    _xlpm._Result, CHOOSE(_xlpm._Step3, _xlpm._Diag, _xlpm._Nodiag, _xlpm._Pytha),    _xlpm._Result ))</definedName>
    <definedName name="Lz_FlattenWithRC">_xlfn.LAMBDA(_xlpm.map, _xlfn.LET(
   _xlpm.\\LambdaName, "Lz_FlattenWithRC",
   _xlpm._rw, _xlfn.DROP(_xlfn.TAKE(_xlpm.map, , 1), 1),
   _xlpm._cl, _xlfn.DROP(_xlfn.TAKE(_xlpm.map, 1, ), , 1),
   _xlpm._val, _xlfn.TOCOL(_xlfn.DROP(_xlpm.map, 1, 1)),
   _xlpm._add, _xlfn.TOCOL(_xlpm._cl &amp; _xlpm._rw),
   _xlpm._Result, _xlfn.HSTACK(_xlpm._add, _xlpm._val),
   _xlpm._Result
))</definedName>
    <definedName name="Lz_LargeCalc">_xlfn.LAMBDA(_xlpm.Numbers_onlytwo_FplusS_FminS_Fdiv,_xlop.Operation_1Summation_2Subtraction_3Multiplication_4Division,_xlop.Divider, _xlfn.LET(
   _xlpm.\\LambdaName, "Lz_LargeCalc",
   _xlpm.OPP, _xlpm.Operation_1Summation_2Subtraction_3Multiplication_4Division,
   _xlpm.NNN, _xlpm.Numbers_onlytwo_FplusS_FminS_Fdiv,
   _xlpm.OP, IF(_xlfn.ISOMITTED(_xlpm.OPP), 1, IF((_xlpm.OPP &gt; 4) * (_xlpm.OPP &lt; 1), 1, _xlpm.OPP)),
   _xlpm.Plus,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1,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_xlpm.Minus,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{1,-1},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_xlpm.Mult, _xlfn.LAMBDA(_xlpm.Num, _xlfn.LET(
      _xlpm.T, _xlfn.TOCOL(_xlpm.Num, 3),
      _xlpm.x, INDEX(_xlpm.T, 1),
      _xlpm.y, INDEX(_xlpm.T, 2),
      _xlpm.L, CEILING(MAX(LEN(_xlpm.x), LEN(_xlpm.y)), 7),
      _xlpm.S, _xlfn.SEQUENCE(_xlpm.L / 7, , , 7),
      _xlpm.M, MID(RIGHT(REPT(0, _xlpm.L) &amp; _xlfn.HSTACK(_xlpm.x, _xlpm.y), _xlpm.L), _xlpm.S, 7) * 10 ^ -_xlfn._xlws.SORT(1 - _xlpm.S),
      _xlpm.Plus(TEXT(_xlfn.TAKE(_xlpm.M, , 1) * _xlfn.TOROW(_xlfn.DROP(_xlpm.M, , 1)), 0))
   )),
   _xlpm.Division, _xlfn.LAMBDA(_xlpm.Num,_xlpm.Div, _xlfn.LET(
      _xlpm.x, _xlfn.SCAN(, IF(_xlfn.SEQUENCE(9), _xlpm.Div), _xlfn.LAMBDA(_xlpm.a,_xlpm.v, _xlpm.Plus(_xlfn.HSTACK(_xlpm.a, _xlpm.v)))),
      _xlpm.ix, RIGHT(0 &amp; _xlpm.x, MAX(LEN(_xlpm.x))),
      _xlpm.l, MAX(LEN(_xlpm.ix)),
      _xlpm.r, _xlfn.LAMBDA(_xlpm.r,_xlpm.a, _xlfn.LET(
         _xlpm.n, _xlfn.SINGLE(_xlfn.TAKE(_xlpm.a, -1, -1)),
         _xlpm.m, RIGHT(REPT(0, _xlpm.l) &amp; _xlpm.n, MAX(LEN(_xlpm.n), _xlpm.l)),
         _xlpm.i, MATCH(_xlpm.m, _xlpm.ix),
         IF(
            -_xlpm.n &lt; -_xlpm.Div,
            _xlpm.r(
               _xlpm.r,
               _xlfn.VSTACK(
                  _xlpm.a,
                  _xlfn.HSTACK(LEN(_xlpm.m) - _xlpm.l, _xlpm.i, _xlpm.Minus(_xlfn.HSTACK(_xlpm.m, INDEX(_xlpm.ix, _xlpm.i) &amp; REPT(0, LEN(_xlpm.m) - _xlpm.l))))
               )
            ),
            _xlfn.DROP(_xlpm.a, 1)
         )
      )),
      _xlpm.nd, _xlpm.r(_xlpm.r, _xlpm.Num),
      _xlpm.g, _xlfn.GROUPBY(_xlfn.TAKE(_xlpm.nd, , 1), INDEX(_xlpm.nd, , 2), _xlfn.LAMBDA(_xlpm.A, SUM(_xlpm.A)), , 0),
      _xlpm.Plus(TEXT(_xlfn.DROP(_xlpm.g, , 1) * 10 ^ _xlfn.TAKE(_xlpm.g, , 1), 0))
   )),
   CHOOSE(_xlpm.OP, _xlpm.Plus(_xlpm.NNN), _xlpm.Minus(_xlpm.NNN), _xlpm.Mult(_xlpm.NNN), _xlpm.Division(_xlpm.NNN, _xlpm.Divider))
))</definedName>
    <definedName name="Lz_LargeMult">_xlfn.LAMBDA(_xlpm.x,_xlpm.y, _xlfn.LET(
   _xlpm.\\LambdaName, "Lz_LargeMult",
   _xlpm.l, _xlfn.CEILING.MATH(MAX(LEN(_xlpm.x), LEN(_xlpm.y)), 6),
   _xlpm.s, _xlfn.SEQUENCE(_xlpm.l / 6, , , 6),
   _xlpm.m, MID(RIGHT(REPT(0, _xlpm.l) &amp; _xlfn.HSTACK(_xlpm.x, _xlpm.y), _xlpm.l), _xlpm.s, 6),
   _xlpm.g, _xlfn.GROUPBY(
      _xlfn.TOCOL((_xlpm.l - 5) * 2 - _xlpm.s - _xlfn.TOROW(_xlpm.s)),
      _xlfn.TOCOL(_xlfn.TAKE(_xlpm.m, , 1) * _xlfn.TOROW(_xlfn.DROP(_xlpm.m, , 1))),
      _xleta.SUM,
      ,
      0
   ),
   Lz_LargePlus(IF(_xlfn.DROP(_xlpm.g, , 1), _xlfn.DROP(_xlpm.g, , 1) &amp; REPT(0, _xlfn.TAKE(_xlpm.g, , 1)), 0))
))</definedName>
    <definedName name="Lz_LargePlus">_xlfn.LAMBDA(_xlpm.num,_xlop.subtrack, _xlfn.LET(
   _xlpm.\\LambdaName, "Lz_LargePlus",
   _xlpm.\\CommandName, "LP",
   _xlpm.n, _xlfn.TOROW(_xlpm.num, 3),
   _xlpm.d, _xlfn.SEQUENCE(CEILING(MAX(LEN(_xlpm.n)), 9) / 9) * 9,
   _xlpm.r, REPT(0, 9),
   _xlfn.CONCAT(
      _xlfn.SCAN(
         ,
         _xlfn.SORTBY(
            _xlfn.SCAN(
               0,
               _xlpm.d,
               _xlfn.LAMBDA(_xlpm.a,_xlpm.i,
                  SUM(LEFT(RIGHT(_xlpm.r &amp; _xlpm.n, _xlpm.i), 9) * IF(_xlpm.subtrack, {1,-1}, 1), INT(_xlpm.a / 10 ^ 9))
               )
            ),
            -_xlpm.d
         ),
         _xlfn.LAMBDA(_xlpm._,_xlpm.n, RIGHT(_xlpm.r &amp; MOD(_xlpm.n, 10 ^ 9), 9))
      )
   )
))</definedName>
    <definedName name="Lz_LargePower">_xlfn.LAMBDA(_xlpm.num,_xlpm.exp, _xlfn.LET(
   _xlpm.\\LambdaName, "Lz_LargePower",
   IF(
      _xlpm.exp &lt;= 1,
      _xlpm.num,
      _xlfn.REDUCE(_xlpm.num, _xlfn.SEQUENCE(_xlpm.exp - 1), _xlfn.LAMBDA(_xlpm.ac,_xlpm.v, Lz_LargeMult(_xlpm.ac, _xlpm.num)))
   )
))</definedName>
    <definedName name="Lz_Median" localSheetId="7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Median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RangeFromTo" localSheetId="7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RangeFromTo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SeqenceFromTo" localSheetId="7">_xlfn.LAMBDA(_xlpm.from,_xlpm.to,_xlop.row, _xlfn.LET(
   _xlpm.\\LambdaName, "Lz_SeqenceFromTo",
   IF(
      IF(_xlfn.ISOMITTED(_xlpm.row), 0, _xlpm.row),
      _xlfn.SEQUENCE(, ABS(_xlpm.from - _xlpm.to) + 1, _xlpm.from, SIGN(_xlpm.to - _xlpm.from)),
      _xlfn.SEQUENCE(ABS(_xlpm.from - _xlpm.to) + 1, , _xlpm.from, SIGN(_xlpm.to - _xlpm.from))
   )
))</definedName>
    <definedName name="Lz_Sequence">_xlfn.LAMBDA(_xlpm.start,_xlpm.stop,_xlop.step,_xlop.repeat_element,_xlop.repeat_array, _xlfn.LET(
   _xlpm.\\LambdaName, "Lz_Sequence",
   _xlpm.s, _xlpm.start,
   _xlpm.t, _xlpm.stop,
   _xlpm.stp, IF(_xlfn.ISOMITTED(_xlpm.step), IF(_xlpm.t &gt;= _xlpm.s, 1, -1), _xlpm.step),
   _xlpm.re, IF(_xlfn.ISOMITTED(_xlpm.repeat_element), 1, _xlpm.repeat_element),
   _xlpm.ra, IF(_xlfn.ISOMITTED(_xlpm.repeat_array), 1, _xlpm.repeat_array),
   _xlpm.d, _xlpm.t - _xlpm.s,
   _xlpm.ok_dir, OR(_xlpm.d = 0, SIGN(_xlpm.stp) = SIGN(_xlpm.d)),
   _xlpm.ok_div, MOD(ABS(_xlpm.d), ABS(_xlpm.stp)) = 0,
   _xlpm.n, QUOTIENT(ABS(_xlpm.d), ABS(_xlpm.stp)) + 1,
   _xlpm.base, _xlpm.s + _xlpm.stp * _xlfn.SEQUENCE(_xlpm.n, , 0, 1),
   _xlpm.each_rep, INDEX(_xlpm.base, ROUNDUP(_xlfn.SEQUENCE(_xlpm.n * _xlpm.re) / _xlpm.re, 0)),
   _xlpm.whole_rep, INDEX(_xlpm.each_rep, MOD(_xlfn.SEQUENCE(_xlpm.n * _xlpm.re * _xlpm.ra) - 1, _xlpm.n * _xlpm.re) + 1),
   IF(AND(_xlpm.stp &lt;&gt; 0, _xlpm.ok_dir, _xlpm.ok_div), _xlpm.whole_rep, NA())
))</definedName>
    <definedName name="Lz_SequenceFromTo">_xlfn.LAMBDA(_xlpm.from,_xlpm.to,_xlop.row, _xlfn.LET(    _xlpm.\\LambdaName, "Lz_SeqenceFromTo",    IF(       IF(_xlfn.ISOMITTED(_xlpm.row), 0, 1),       _xlfn.SEQUENCE(, ABS(_xlpm.from - _xlpm.to) + 1, _xlpm.from, SIGN(_xlpm.to - _xlpm.from)),       _xlfn.SEQUENCE(ABS(_xlpm.from - _xlpm.to) + 1, , _xlpm.from, SIGN(_xlpm.to - _xlpm.from))    ) ))</definedName>
    <definedName name="MapBlocker">_xlfn.LAMBDA(_xlpm.mp,_xlpm.blocker,_xlpm.Hv0Di1Dx2Hex3Knight4opp,_xlpm.mpT, _xlfn.LET(
   _xlpm.\\LambdaName, "MapBlocker",
   _xlpm.od, _xlpm.Hv0Di1Dx2Hex3Knight4opp,
   _xlpm.M, 10 ^ 6,
   _xlpm.cd, COUNT(_xlpm.od),
   _xlpm.xrc, IF(
      _xlpm.cd = 1,
      IF(
         _xlpm.od = 3,
         _xlfn.HSTACK(_xlfn.DROP(Drc, , 4), 2, -2),
         IF(_xlpm.od = 4, KnightRC, _xlfn.TAKE(Drc, , IF(_xlpm.od, 8, 4)))
      ),
      _xlpm.od
   ),
   _xlpm.r, ROW(_xlpm.mp),
   _xlpm.c, COLUMN(_xlpm.mp),
   _xlpm.rc, _xlpm.r * _xlpm.M + _xlpm.c,
   _xlpm.bn, IF(COLUMNS(_xlpm.blocker) = 1, _xlfn.EXPAND(_xlpm.blocker, , 2, 1), +_xlpm.blocker),
   _xlpm.pb, _xlfn.REDUCE(
      0,
      _xlfn.SEQUENCE(MAX(2, _xlpm.bn) - 1),
      _xlfn.LAMBDA(_xlpm.a,_xlpm.i, _xlfn.LET(
         _xlpm.b, _xlfn.TOCOL(_xlfn.TAKE(_xlpm.a, , -1), 3) + _xlpm.xrc,
         _xlpm.x, _xlfn.UNIQUE(_xlfn.TOCOL(_xlfn.IFS(ISNA(MATCH(_xlpm.b, _xlfn.TOCOL(_xlpm.a, 3), )), _xlpm.b), 3)),
         _xlfn.HSTACK(_xlpm.a, _xlpm.x)
      ))
   ),
   _xlpm.pa, _xlfn.HSTACK(
      _xlfn.TOCOL(_xlpm.pb, 3, 1),
      _xlfn.TOCOL(_xlfn.IFS(ISNUMBER(_xlpm.pb), _xlfn.SEQUENCE(, COLUMNS(_xlpm.pb))), 3, 1)
   ),
   _xlpm.rcb, Brow(
      _xlpm.bn,
      _xlfn.LAMBDA(_xlpm.bn,
         IF(
            {1,0},
            _xlfn.TOCOL(
               _xlfn.TOROW(
                  _xlfn.IFS((_xlpm.mp = _xlfn.SINGLE(_xlpm.bn)) + IF(NOT(_xlfn.ISOMITTED(_xlpm.mpT)), _xlpm.mpT = _xlfn.SINGLE(_xlpm.bn)), _xlpm.rc),
                  3
               )
                  + _xlfn.TAKE(_xlfn._xlws.FILTER(_xlpm.pa, _xlfn.TAKE(_xlpm.pa, , -1) &lt;= INDEX(_xlpm.bn, 2)), , 1),
               3
            ),
            _xlfn.SINGLE(_xlpm.bn
         ))
      )
   ),
   _xlpm.g, _xlfn.GROUPBY(
      _xlfn.TAKE(_xlpm.rcb, , 1),
      _xlfn.DROP(_xlpm.rcb, , 1),
      _xlfn.LAMBDA(_xlpm.x, _xlfn.ARRAYTOTEXT(_xlfn.UNIQUE(_xlpm.x))),
      0,
      0
   ),
   _xlfn.XLOOKUP(_xlpm.rc, _xlfn.TAKE(_xlpm.g, , 1), _xlfn.DROP(_xlpm.g, , 1), 1, , 2)
))</definedName>
    <definedName name="Maze" localSheetId="7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_xlpm.mpA,IF(_xlfn.ISOMITTED(_xlpm.AllowMp),_xlpm.mp,_xlpm.AllowMp),_xlpm.al,IF('Lz_Chess Lab'!Exists("",_xlfn.TOCOL(_xlpm.mp)),"",0),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_xlpm.rs,_xlpm.Rec(_xlpm.Rec,_xlfn.IFNA(_xlfn.HSTACK(_xlfn.TOCOL('Lz_Chess Lab'!RowNum(_xlpm.st)*10^6+'Lz_Chess Lab'!ColNum(_xlpm.st)),0),0)), _xlpm.final,IF(_xlfn.ISOMITTED(_xlpm.targets),_xlfn.IFNA(VLOOKUP(_xlpm.rcn,_xlpm.rs,2,0),""),_xlfn.IFNA(VLOOKUP('Lz_Chess Lab'!RowNum(_xlpm.targets)*1000000+'Lz_Chess Lab'!ColNum(_xlpm.targets),_xlpm.rs,2,0),"OOB")),_xlpm.final))</definedName>
    <definedName name="Maze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_xlpm.rs,_xlpm.Rec(_xlpm.Rec,_xlfn.IFNA(_xlfn.HSTACK(_xlfn.TOCOL(RowNum(_xlpm.st)*10^6+ColNum(_xlpm.st)),0),0)), _xlpm.final,IF(_xlfn.ISOMITTED(_xlpm.targets),_xlfn.IFNA(VLOOKUP(_xlpm.rcn,_xlpm.rs,2,0),""),_xlfn.IFNA(VLOOKUP(RowNum(_xlpm.targets)*1000000+ColNum(_xlpm.targets),_xlpm.rs,2,0),"OOB")),_xlpm.final))</definedName>
    <definedName name="MazeDistance" localSheetId="7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_xlpm.rcst,_xlfn.TOCOL('Lz_Chess Lab'!RowNum(_xlpm.st)*_xlpm.M+'Lz_Chess Lab'!ColNum(_xlpm.st)),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_xlpm.end,_xlfn.LET(_xlpm.z,IF(_xlfn.ISOMITTED(_xlpm.Show_Steps),2,3),IF(_xlfn.ISOMITTED(_xlpm.Targets),_xlfn.IFNA(VLOOKUP(_xlpm.rcn,_xlpm.rs,_xlpm.z,),""),VLOOKUP('Lz_Chess Lab'!RowNum(_xlpm.Targets)*_xlpm.M+'Lz_Chess Lab'!ColNum(_xlpm.Targets),_xlpm.rs,_xlpm.z,))),   _xlpm.end))</definedName>
    <definedName name="MazeDistance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_xlpm.rcst,_xlfn.TOCOL(RowNum(_xlpm.st)*_xlpm.M+ColNum(_xlpm.st)),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_xlpm.end,_xlfn.LET(_xlpm.z,IF(_xlfn.ISOMITTED(_xlpm.Show_Steps),2,3),IF(_xlfn.ISOMITTED(_xlpm.Targets),_xlfn.IFNA(VLOOKUP(_xlpm.rcn,_xlpm.rs,_xlpm.z,),""),VLOOKUP(RowNum(_xlpm.Targets)*_xlpm.M+ColNum(_xlpm.Targets),_xlpm.rs,_xlpm.z,))),   _xlpm.end))</definedName>
    <definedName name="MostOf" localSheetId="7">_xlfn.LAMBDA(_xlpm.array,_xlfn.GROUPBY(_xlfn.TOCOL(IF(COUNTA(_xlpm.array)=1,'Lz_Chess Lab'!SplitText(_xlpm.array),_xlpm.array),3),_xlfn.TOCOL(IF(COUNTA(_xlpm.array)=1,'Lz_Chess Lab'!SplitText(_xlpm.array),_xlpm.array),3),_xleta.ROWS,0,0,-2))</definedName>
    <definedName name="MostOf">_xlfn.LAMBDA(_xlpm.array,_xlfn.GROUPBY(_xlfn.TOCOL(IF(COUNTA(_xlpm.array)=1,SplitText(_xlpm.array),_xlpm.array),3),_xlfn.TOCOL(IF(COUNTA(_xlpm.array)=1,SplitText(_xlpm.array),_xlpm.array),3),_xleta.ROWS,0,0,-2))</definedName>
    <definedName name="MoveOnMap" localSheetId="7">_xlfn.LAMBDA(_xlpm.St,_xlpm.Arrow,_xlop.Multiple,_xlop.mp,_xlop.Stop,_xlop.Glide,_xlop.Bounce,_xlop.WrapAround,_xlop.AllowMp,_xlop.ShowPath,_xlfn.LET(_xlpm.ar,_xlpm.Arrow,_xlpm.M,10^6,_xlpm.r,'Lz_Chess Lab'!RowNum(_xlpm.St),_xlpm.c,'Lz_Chess Lab'!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IF(_xlpm.b+_xlpm.g&gt;0,_xlfn.LET(_xlpm.pth,_xlfn.REDUCE(_xlfn.HSTACK(_xlpm.rcs,_xlpm.ar),_xlfn.SEQUENCE(_xlpm.mlt),_xlfn.LAMBDA(_xlpm.a,_xlpm.v,_xlfn.LET(_xlpm.sc,_xlfn.CONCAT(_xlfn.TAKE(_xlpm.a,-1,1))*1,_xlpm.sa,_xlfn.CONCAT(_xlfn.TAKE(_xlpm.a,-1,-1)),_xlpm.gc,'Lz_Chess Lab'!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'Lz_Chess Lab'!RC_Ref_Convert(_xlpm.ea)+_xlpm.sc,_xlpm.ncc,_xlfn.IFNA(IF(ISNUMBER(_xlfn.XMATCH(_xlpm.nc,_xlpm.ib)),_xlpm.nc,_xlpm.sc),_xlpm.sc),_xlfn.HSTACK(_xlpm.ncc,IF(_xlpm.b,_xlpm.ea,_xlpm.ar)))),IF(_xlpm.sp,_xlfn.VSTACK(_xlpm.a,_xlpm.rs),_xlpm.rs)))),IF(_xlpm.sp,_xlfn.HSTACK('Lz_Chess Lab'!RC_Ref_Convert(_xlfn.TAKE(_xlpm.pth,,1)),_xlfn.TAKE(_xlpm.pth,,-1)),'Lz_Chess Lab'!RC_Ref_Convert(_xlfn.TAKE(_xlpm.pth,,1)))),  _xlfn.REDUCE(_xlpm.St,_xlfn.SEQUENCE(_xlpm.mlt),_xlfn.LAMBDA(_xlpm.a,_xlpm.v,_xlfn.LET(_xlpm.ra,'Lz_Chess Lab'!RowNum(_xlfn.TAKE(_xlpm.a,-1)),_xlpm.ca,'Lz_Chess Lab'!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'Lz_Chess Lab'!RC_Ref_Convert(_xlpm.gl),_xlpm.ib))),_xlpm.rs,IFERROR(IF(_xlpm.gib,_xlpm.gl,IF(_xlpm.Stop,_xlfn.TAKE(_xlpm.a,-1),"OOB")),"OOB"),IF(_xlpm.sp,_xlfn.VSTACK(_xlpm.a,_xlpm.rs),_xlpm.rs))))))))</definedName>
    <definedName name="MoveOnMap">_xlfn.LAMBDA(_xlpm.St,_xlpm.Arrow,_xlop.Multiple,_xlop.mp,_xlop.Stop,_xlop.Glide,_xlop.Bounce,_xlop.WrapAround,_xlop.AllowMp,_xlop.ShowPath,_xlfn.LET(_xlpm.ar,_xlpm.Arrow,_xlpm.M,10^6,_xlpm.r,RowNum(_xlpm.St),_xlpm.c,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RC_Ref_Convert(_xlpm.ea)+_xlpm.sc,_xlpm.ncc,_xlfn.IFNA(IF(ISNUMBER(_xlfn.XMATCH(_xlpm.nc,_xlpm.ib)),_xlpm.nc,_xlpm.sc),_xlpm.sc),_xlfn.HSTACK(_xlpm.ncc,IF(_xlpm.b,_xlpm.ea,_xlpm.ar)))),IF(_xlpm.sp,_xlfn.VSTACK(_xlpm.a,_xlpm.rs),_xlpm.rs)))),IF(_xlpm.sp,_xlfn.HSTACK(RC_Ref_Convert(_xlfn.TAKE(_xlpm.pth,,1)),_xlfn.TAKE(_xlpm.pth,,-1)),RC_Ref_Convert(_xlfn.TAKE(_xlpm.pth,,1)))),  _xlfn.REDUCE(_xlpm.St,_xlfn.SEQUENCE(_xlpm.mlt),_xlfn.LAMBDA(_xlpm.a,_xlpm.v,_xlfn.LET(_xlpm.ra,RowNum(_xlfn.TAKE(_xlpm.a,-1)),_xlpm.ca,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RC_Ref_Convert(_xlpm.gl),_xlpm.ib))),_xlpm.rs,IFERROR(IF(_xlpm.gib,_xlpm.gl,IF(_xlpm.Stop,_xlfn.TAKE(_xlpm.a,-1),"OOB")),"OOB"),IF(_xlpm.sp,_xlfn.VSTACK(_xlpm.a,_xlpm.rs),_xlpm.rs))))))))</definedName>
    <definedName name="N_ADJCELL" localSheetId="7">_xlfn.LAMBDA(_xlpm._Cell,_xlop._Radius,_xlop._ForHvd2ForHv3ForPyth, _xlfn.LET(
   _xlpm.\\LambdaName, "N_ADJCELL",
   _xlpm._Row, 'Lz_Chess Lab'!N_ROWOFCELLREF(_xlpm._Cell),
   _xlpm._Col, 'Lz_Chess Lab'!N_COLOFCELLREF(_xlpm._Cell),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JCELL">_xlfn.LAMBDA(_xlpm._Cell,_xlop._Radius,_xlop._ForHvd2ForHv3ForPyth, _xlfn.LET(
   _xlpm.\\LambdaName, "N_ADJCELL",
   _xlpm._Row, N_ROWOFCELLREF(_xlpm._Cell),
   _xlpm._Col, 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MREF" localSheetId="7">_xlfn.LAMBDA(_xlpm.cell, _xlfn.LET(
   _xlpm.\\LambdaName, "N_ADMREF",
   _xlfn.MAP(_xlpm.cell, _xlfn.LAMBDA(_xlpm.a, 'Lz_Chess Lab'!N_ROWOFCELLREF(_xlpm.a) * 10 ^ 6 + 'Lz_Chess Lab'!N_COLOFCELLREF(_xlpm.a)))
))</definedName>
    <definedName name="N_ADMREF">_xlfn.LAMBDA(_xlpm.cell, _xlfn.LET(
   _xlpm.\\LambdaName, "N_ADMREF",
   _xlfn.MAP(_xlpm.cell, _xlfn.LAMBDA(_xlpm.a, N_ROWOFCELLREF(_xlpm.a) * 10 ^ 6 + N_COLOFCELLREF(_xlpm.a)))
))</definedName>
    <definedName name="N_ADTOCONTENT" localSheetId="7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DTOCONTENT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RRAYSOFARRAYS" localSheetId="7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ARRAYSOFARRAYS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COLOFCELLREF" localSheetId="7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LOFCELLREF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NPIPEPROMAX" localSheetId="7">_xlfn.LAMBDA(_xlpm.from,_xlpm.to,_xlpm.type, _xlfn.LET(
   _xlpm.\\LambdaName, "N_CONPIPEPROMAX",
   _xlfn.MAP(_xlpm.from, _xlpm.to, _xlpm.type, _xlfn.LAMBDA(_xlpm.a,_xlpm.b,_xlpm.c, 'Lz_Chess Lab'!N_CONPIPES(_xlpm.a, _xlpm.b, _xlpm.c)))
))</definedName>
    <definedName name="N_CONPIPEPROMAX">_xlfn.LAMBDA(_xlpm.from,_xlpm.to,_xlpm.type, _xlfn.LET(
   _xlpm.\\LambdaName, "N_CONPIPEPROMAX",
   _xlfn.MAP(_xlpm.from, _xlpm.to, _xlpm.type, _xlfn.LAMBDA(_xlpm.a,_xlpm.b,_xlpm.c, N_CONPIPES(_xlpm.a, _xlpm.b, _xlpm.c)))
))</definedName>
    <definedName name="N_CONPIPES" localSheetId="7">_xlfn.LAMBDA(_xlpm.from,_xlpm.to,_xlop.type, _xlfn.LET(
   _xlpm.\\LambdaName, "N_CONPIPES",
   _xlpm._Ffrom, 'Lz_Chess Lab'!N_FLATE(
      _xlfn.XLOOKUP(
         _xlpm.from,
         {"═";"║";"╔";"╗";"╚";"╝";"╠";"╣";"╦";"╩";"╬"},
         {"0101";"1010";"0011";"0110";"1001";"1100";"1011";"1110";"0111";"1101";"1111"}
      )
   ),
   _xlpm._Fto, 'Lz_Chess Lab'!N_FLATE(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NPIPES">_xlfn.LAMBDA(_xlpm.from,_xlpm.to,_xlop.type, _xlfn.LET(
   _xlpm.\\LambdaName, "N_CONPIPES",
   _xlpm._Ffrom, N_FLATE(
      _xlfn.XLOOKUP(
         _xlpm.from,
         {"═";"║";"╔";"╗";"╚";"╝";"╠";"╣";"╦";"╩";"╬"},
         {"0101";"1010";"0011";"0110";"1001";"1100";"1011";"1110";"0111";"1101";"1111"}
      )
   ),
   _xlpm._Fto, 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UNTOCC" localSheetId="7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COUNTOCC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DICEPIPS" localSheetId="7">_xlfn.LAMBDA(_xlpm.dices, _xlfn.LET(
   _xlpm.\\LambdaName, "N_DICEPIPS",
   _xlfn.MAP(_xlpm.dices, _xlfn.LAMBDA(_xlpm.a, _xlfn.UNICODE(_xlpm.a) - 9855))
))</definedName>
    <definedName name="N_DICEPIPS">_xlfn.LAMBDA(_xlpm.dices, _xlfn.LET(
   _xlpm.\\LambdaName, "N_DICEPIPS",
   _xlfn.MAP(_xlpm.dices, _xlfn.LAMBDA(_xlpm.a, _xlfn.UNICODE(_xlpm.a) - 9855))
))</definedName>
    <definedName name="N_DIJKSTRA" localSheetId="7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JKSTRA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STFROM" localSheetId="7">_xlfn.LAMBDA(_xlpm.StartingCell,_xlpm.TargetCell,_xlop.for_horizontal_vertical_2_for_horizontal_vertical_diagonal_3_for_pythagor, _xlfn.LET(
   _xlpm.\\LambdaName, "N_DISTFROM",
   _xlpm.RowStart, 'Lz_Chess Lab'!N_ROWOFCELLREF(_xlpm.StartingCell),
   _xlpm.ColStart, 'Lz_Chess Lab'!N_COLOFCELLREF(_xlpm.StartingCell),
   _xlpm.RowEnd, 'Lz_Chess Lab'!N_ROWOFCELLREF(_xlpm.TargetCell),
   _xlpm.ColEnd, 'Lz_Chess Lab'!N_COLOFCELLREF(_xlpm.TargetCell),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ISTFROM">_xlfn.LAMBDA(_xlpm.StartingCell,_xlpm.TargetCell,_xlop.for_horizontal_vertical_2_for_horizontal_vertical_diagonal_3_for_pythagor, _xlfn.LET(
   _xlpm.\\LambdaName, "N_DISTFROM",
   _xlpm.RowStart, N_ROWOFCELLREF(_xlpm.StartingCell),
   _xlpm.ColStart, N_COLOFCELLREF(_xlpm.StartingCell),
   _xlpm.RowEnd, N_ROWOFCELLREF(_xlpm.TargetCell),
   _xlpm.ColEnd, 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OMINOES" localSheetId="7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OMINOES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WR" localSheetId="7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DWR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EXCEPT" localSheetId="7">_xlfn.LAMBDA(_xlpm.array,_xlpm.exclude, _xlfn.LET(
   _xlpm.\\LambdaName, "N_EXCEPT",
   _xlfn._xlws.FILTER(_xlpm.array, NOT(ISNUMBER(_xlfn.XMATCH(_xlpm.array, _xlpm.exclude))))
))</definedName>
    <definedName name="N_EXCEPT">_xlfn.LAMBDA(_xlpm.array,_xlpm.exclude, _xlfn.LET(
   _xlpm.\\LambdaName, "N_EXCEPT",
   _xlfn._xlws.FILTER(_xlpm.array, NOT(ISNUMBER(_xlfn.XMATCH(_xlpm.array, _xlpm.exclude))))
))</definedName>
    <definedName name="N_EXTRACTNUMS" localSheetId="7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NUMS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TEXT" localSheetId="7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EXTRACTTEXT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FLATE" localSheetId="7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LATE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OLD" localSheetId="7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OLD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rench" localSheetId="7">_xlfn.LAMBDA(_xlpm.from, _xlfn.LET(_xlpm.\\LambdaName, "N_French", _xlfn.TRANSLATE(_xlpm.from, , "fr")))</definedName>
    <definedName name="N_French">_xlfn.LAMBDA(_xlpm.from, _xlfn.LET(_xlpm.\\LambdaName, "N_French", _xlfn.TRANSLATE(_xlpm.from, , "fr")))</definedName>
    <definedName name="N_KEEP" localSheetId="7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KEEP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MAXLOOKUP" localSheetId="7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XLOOKUP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ZESOLVER" localSheetId="7">_xlfn.LAMBDA(_xlpm.mp,_xlpm.st,_xlop.Targets,_xlop.No_Diag,_xlop.Cus_Dir, _xlfn.LET(
   _xlpm.\\LambdaName, "N_MAZESOLVER",
   _xlpm.M, 1000000,
   _xlpm.rcst, _xlfn.MAP(_xlpm.st, _xlfn.LAMBDA(_xlpm.a, 'Lz_Chess Lab'!N_ROWOFCELLREF(_xlpm.a) * _xlpm.M + 'Lz_Chess Lab'!N_COLOFCELLREF(_xlpm.a))),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'Lz_Chess Lab'!N_ROWOFCELLREF(_xlpm.a) * _xlpm.M + 'Lz_Chess Lab'!N_COLOFCELLREF(_xlpm.a))),
         _xlfn.IFNA(VLOOKUP(_xlpm.tgt, _xlpm.rs, 2, FALSE), "X")
      )
   ),
   _xlpm.result
))</definedName>
    <definedName name="N_MAZESOLVER">_xlfn.LAMBDA(_xlpm.mp,_xlpm.st,_xlop.Targets,_xlop.No_Diag,_xlop.Cus_Dir, _xlfn.LET(
   _xlpm.\\LambdaName, "N_MAZESOLVER",
   _xlpm.M, 1000000,
   _xlpm.rcst, _xlfn.MAP(_xlpm.st, _xlfn.LAMBDA(_xlpm.a, N_ROWOFCELLREF(_xlpm.a) * _xlpm.M + 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N_ROWOFCELLREF(_xlpm.a) * _xlpm.M + N_COLOFCELLREF(_xlpm.a))),
         _xlfn.IFNA(VLOOKUP(_xlpm.tgt, _xlpm.rs, 2, FALSE), "X")
      )
   ),
   _xlpm.result
))</definedName>
    <definedName name="N_MEXPAND" localSheetId="7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EXPAND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INLOOKUP" localSheetId="7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INLOOKUP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OSTOF" localSheetId="7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MOSTOF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PATHS" localSheetId="7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),
      _xlfn.REDUCE(
         _xlpm.Start,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
   ),
   IF(_xlpm.c, TRANSPOSE(_xlpm.out), _xlpm.out)
))</definedName>
    <definedName name="N_PATHS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),
      _xlfn.REDUCE(
         _xlpm.Start,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
   ),
   IF(_xlpm.c, TRANSPOSE(_xlpm.out), _xlpm.out)
))</definedName>
    <definedName name="N_PIPESSOLVER" localSheetId="7">_xlfn.LAMBDA(_xlpm.maps,_xlpm.start_cell,_xlop.data?, _xlfn.LET(
   _xlpm.\\LambdaName, "N_PIPESSOLVER",
   _xlpm.FMp, _xlfn.TOCOL(_xlpm.maps),
   _xlpm.AdMp, _xlfn.TOCOL(ADDRESS(ROW(_xlpm.maps), COLUMN(_xlpm.maps), 4)),
   _xlpm.AdMref, 'Lz_Chess Lab'!N_ROWOFCELLREF(_xlpm.AdMp) * 10 ^ 6 + _xlfn.MAP(_xlpm.AdMp, _xlfn.LAMBDA(_xlpm.a, 'Lz_Chess Lab'!N_COLOFCELLREF(_xlpm.a))),
   _xlpm.Mvts, {1000000,1,-1000000,-1},
   _xlpm.MvtsType, {"TB","LR","BT","RL"},
   _xlpm.StartMref, 'Lz_Chess Lab'!N_ROWOFCELLREF(_xlpm.start_cell) * 10 ^ 6 + 'Lz_Chess Lab'!N_COLOFCELLREF(_xlpm.start_cell),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PIPESSOLVER">_xlfn.LAMBDA(_xlpm.maps,_xlpm.start_cell,_xlop.data?, _xlfn.LET(
   _xlpm.\\LambdaName, "N_PIPESSOLVER",
   _xlpm.FMp, _xlfn.TOCOL(_xlpm.maps),
   _xlpm.AdMp, _xlfn.TOCOL(ADDRESS(ROW(_xlpm.maps), COLUMN(_xlpm.maps), 4)),
   _xlpm.AdMref, N_ROWOFCELLREF(_xlpm.AdMp) * 10 ^ 6 + _xlfn.MAP(_xlpm.AdMp, _xlfn.LAMBDA(_xlpm.a, N_COLOFCELLREF(_xlpm.a))),
   _xlpm.Mvts, {1000000,1,-1000000,-1},
   _xlpm.MvtsType, {"TB","LR","BT","RL"},
   _xlpm.StartMref, N_ROWOFCELLREF(_xlpm.start_cell) * 10 ^ 6 + 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RANGETOADD" localSheetId="7">_xlfn.LAMBDA(_xlpm.plage, _xlfn.LET(
   _xlpm.\\LambdaName, "N_RANGETOADD",
   _xlpm._Step1, ADDRESS(ROW(_xlpm.plage), COLUMN(_xlpm.plage), 4),
   _xlpm._Result, _xlfn.TOCOL(_xlpm._Step1),
   _xlpm._Result
))</definedName>
    <definedName name="N_RANGETOADD">_xlfn.LAMBDA(_xlpm.plage, _xlfn.LET(
   _xlpm.\\LambdaName, "N_RANGETOADD",
   _xlpm._Step1, ADDRESS(ROW(_xlpm.plage), COLUMN(_xlpm.plage), 4),
   _xlpm._Result, _xlfn.TOCOL(_xlpm._Step1),
   _xlpm._Result
))</definedName>
    <definedName name="N_REPTARRAY" localSheetId="7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PTARRAY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VERSEARRAY" localSheetId="7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ARRAY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TEXT" localSheetId="7">_xlfn.LAMBDA(_xlpm.texte, _xlfn.LET(
   _xlpm.\\LambdaName, "N_REVERSETEXT",
   _xlpm._Step1, 'Lz_Chess Lab'!N_FLATE(_xlpm.texte),
   _xlpm._Result, INDEX(_xlpm._Step1, _xlfn.SEQUENCE(LEN(_xlpm.texte), , LEN(_xlpm.texte), -1)),
   _xlpm._Result
))</definedName>
    <definedName name="N_REVERSETEXT">_xlfn.LAMBDA(_xlpm.texte, _xlfn.LET(
   _xlpm.\\LambdaName, "N_REVERSETEXT",
   _xlpm._Step1, N_FLATE(_xlpm.texte),
   _xlpm._Result, INDEX(_xlpm._Step1, _xlfn.SEQUENCE(LEN(_xlpm.texte), , LEN(_xlpm.texte), -1)),
   _xlpm._Result
))</definedName>
    <definedName name="N_ROWOFCELLREF" localSheetId="7">_xlfn.LAMBDA(_xlpm.cell_ref, _xlfn.LET(
   _xlpm.\\LambdaName, "N_ROWOFCELLADD",
   _xlfn.MAP(_xlpm.cell_ref, _xlfn.LAMBDA(_xlpm.a, --_xlfn.REGEXEXTRACT(_xlpm.a, "\d+")))
))</definedName>
    <definedName name="N_ROWOFCELLREF">_xlfn.LAMBDA(_xlpm.cell_ref, _xlfn.LET(
   _xlpm.\\LambdaName, "N_ROWOFCELLADD",
   _xlfn.MAP(_xlpm.cell_ref, _xlfn.LAMBDA(_xlpm.a, --_xlfn.REGEXEXTRACT(_xlpm.a, "\d+")))
))</definedName>
    <definedName name="N_SEARCHVALINMAP" localSheetId="7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EARCHVALINMAP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HIFTWORD" localSheetId="7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HIFTWORD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UBSTITUTEARRAY" localSheetId="7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SUBSTITUTEARRAY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TEXTBETWEEN" localSheetId="7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BETWEEN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EXTRACT" localSheetId="7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EXTEXTRACT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ILE" localSheetId="7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ILE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LOOKUP" localSheetId="7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TLOOKUP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UNPIVOTPROMAX" localSheetId="7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UNPIVOTPROMAX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XSCAN" localSheetId="7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_XSCAN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etworkGraph" localSheetId="7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'Lz_Chess Lab'!BiRow(_xlpm.ft,_xlfn.LAMBDA(_xlpm.r,IFERROR(_xlfn.EXPAND(_xlfn._xlws.FILTER(_xlfn.IFNA(_xlfn.HSTACK(_xlpm.d,_xlfn.MAP(_xlpm.w,_xlfn.LAMBDA(_xlpm.f,SUM(_xlpm.f,INDEX(_xlpm.r,1,2)))),_xlpm.n+1),_xlpm.n+1),_xlpm.o=INDEX(_xlpm.r,1,1)),,4,INDEX(_xlpm.r,1,1)),_xlpm.r))),         'Lz_Chess Lab'!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NetworkGraph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BiRow(_xlpm.ft,_xlfn.LAMBDA(_xlpm.r,IFERROR(_xlfn.EXPAND(_xlfn._xlws.FILTER(_xlfn.IFNA(_xlfn.HSTACK(_xlpm.d,_xlfn.MAP(_xlpm.w,_xlfn.LAMBDA(_xlpm.f,SUM(_xlpm.f,INDEX(_xlpm.r,1,2)))),_xlpm.n+1),_xlpm.n+1),_xlpm.o=INDEX(_xlpm.r,1,1)),,4,INDEX(_xlpm.r,1,1)),_xlpm.r))),         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PerCom" localSheetId="0">_xlfn.LAMBDA(_xlpm.n,_xlpm.c,_xlop.P0C1,_xlop.rep,_xlop.cum,_xlfn.LET(_xlpm.s,_xlfn.UNICHAR(_xlfn.SEQUENCE(,_xlpm.n,20001)), _xlpm.t,_xlfn.SEQUENCE(,_xlpm.c), _xlpm.re,_xlfn.REDUCE("",_xlpm.t,_xlfn.LAMBDA(_xlpm.x,_xlpm.w,_xlfn.LET(_xlpm.b,IF(_xlpm.cum,_xlfn._xlws.FILTER(_xlpm.x,LEN(_xlpm.x)=_xlpm.w-1),_xlpm.x), _xlpm.d,_xlfn.TOCOL(_xlfn.IFS(IF(_xlpm.P0C1,IF(_xlpm.rep,RIGHT(_xlpm.b)&lt;=_xlpm.s,RIGHT(_xlpm.b)&lt;_xlpm.s),IF(_xlpm.rep,1,ISERR(FIND(_xlpm.s,_xlpm.b)))),_xlpm.b&amp;_xlpm.s),3),IF(_xlpm.cum,_xlfn.VSTACK(_xlpm.x,_xlpm.d),_xlpm.d)))), IFERROR(_xlfn.UNICODE(MID(_xlpm.re,_xlpm.t,1))-20000,"")))</definedName>
    <definedName name="PerCom" localSheetId="7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erCom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okerHand" localSheetId="7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'Lz_Chess Lab'!CardDetails(),1),_xlfn.CHOOSECOLS('Lz_Chess Lab'!CardDetails(),4)),_xlpm.royalflush,AND(_xlpm.Suitspresent=1,AND(LEFT(_xlpm.cardvals)="1")), _xlpm.cardsinorder,AND(IFERROR('Lz_Chess Lab'!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okerHand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CardDetails(),1),_xlfn.CHOOSECOLS(CardDetails(),4)),_xlpm.royalflush,AND(_xlpm.Suitspresent=1,AND(LEFT(_xlpm.cardvals)="1")), _xlpm.cardsinorder,AND(IFERROR(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rev" localSheetId="7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ev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imes" localSheetId="7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mes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orityMovement" localSheetId="7">_xlfn.LAMBDA(_xlpm.mp,_xlpm.st,_xlpm.prioarrows,_xlpm.blockers,_xlpm.steps,_xlop.allow_loops,_xlfn.LET(_xlpm.cn,COLUMN(_xlpm.mp),_xlpm.rn,ROW(_xlpm.mp),_xlpm.M,10^6,_xlpm.rcn,_xlfn.TOCOL(_xlpm.rn*_xlpm.M+_xlpm.cn),_xlpm.p,'Lz_Chess Lab'!RC_Ref_Convert(_xlpm.prioarrows),_xlpm.iter, _xlfn.REDUCE(_xlfn.HSTACK('Lz_Chess Lab'!RowNum(_xlpm.st)*_xlpm.M+'Lz_Chess Lab'!ColNum(_xlpm.st),'Lz_Chess Lab'!Ad_To_Contents(_xlpm.st,_xlpm.mp)),_xlfn.SEQUENCE(_xlpm.steps),_xlfn.LAMBDA(_xlpm.a,_xlpm.v,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_xlpm.cont,IF(_xlpm.valid,'Lz_Chess Lab'!Ad_To_Contents(_xlpm.cnd,_xlpm.mp),_xlfn.SINGLE(_xlpm.blockers)), _xlpm.nextarrow,_xlfn.XLOOKUP(TRUE,ISNA(_xlfn.XMATCH(_xlpm.cont,_xlpm.blockers)),_xlpm.p), _xlpm.res,_xlfn.TAKE(_xlpm.a,-1,1)+_xlpm.nextarrow, _xlpm.rs,_xlfn.VSTACK(_xlpm.a,_xlfn.HSTACK(_xlpm.res,'Lz_Chess Lab'!Ad_To_Contents(_xlpm.res,_xlpm.mp))), _xlpm.rs))),_xlfn.HSTACK('Lz_Chess Lab'!RC_Ref_Convert(_xlfn.TAKE(_xlpm.iter,,1)),_xlfn.DROP(_xlpm.iter,,1))))</definedName>
    <definedName name="PriorityMovement">_xlfn.LAMBDA(_xlpm.mp,_xlpm.st,_xlpm.prioarrows,_xlpm.blockers,_xlpm.steps,_xlop.allow_loops,_xlfn.LET(_xlpm.cn,COLUMN(_xlpm.mp),_xlpm.rn,ROW(_xlpm.mp),_xlpm.M,10^6,_xlpm.rcn,_xlfn.TOCOL(_xlpm.rn*_xlpm.M+_xlpm.cn),_xlpm.p,RC_Ref_Convert(_xlpm.prioarrows),_xlpm.iter, _xlfn.REDUCE(_xlfn.HSTACK(RowNum(_xlpm.st)*_xlpm.M+ColNum(_xlpm.st),Ad_To_Contents(_xlpm.st,_xlpm.mp)),_xlfn.SEQUENCE(_xlpm.steps),_xlfn.LAMBDA(_xlpm.a,_xlpm.v,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_xlpm.cont,IF(_xlpm.valid,Ad_To_Contents(_xlpm.cnd,_xlpm.mp),_xlfn.SINGLE(_xlpm.blockers)), _xlpm.nextarrow,_xlfn.XLOOKUP(TRUE,ISNA(_xlfn.XMATCH(_xlpm.cont,_xlpm.blockers)),_xlpm.p), _xlpm.res,_xlfn.TAKE(_xlpm.a,-1,1)+_xlpm.nextarrow, _xlpm.rs,_xlfn.VSTACK(_xlpm.a,_xlfn.HSTACK(_xlpm.res,Ad_To_Contents(_xlpm.res,_xlpm.mp))), _xlpm.rs))),_xlfn.HSTACK(RC_Ref_Convert(_xlfn.TAKE(_xlpm.iter,,1)),_xlfn.DROP(_xlpm.iter,,1))))</definedName>
    <definedName name="PXTOIN" localSheetId="7">_xlfn.LAMBDA(_xlpm.px, _xlfn.LET(_xlpm.\\LambdaName, "PXTOIN", _xlpm.px / 96))</definedName>
    <definedName name="PXTOIN">_xlfn.LAMBDA(_xlpm.px, _xlfn.LET(_xlpm.\\LambdaName, "PXTOIN", _xlpm.px / 96))</definedName>
    <definedName name="RC_Ref_Convert" localSheetId="7">_xlfn.LAMBDA(_xlpm.St,IFERROR(IF(ISNUMBER(_xlpm.St),ADDRESS(INT(_xlpm.St/10^6),MOD(_xlpm.St,10^6),4),'Lz_Chess Lab'!RowNum(_xlpm.St)*10^6+'Lz_Chess Lab'!ColNum(_xlpm.St)),_xlfn.XLOOKUP(_xlpm.St,{"↓";"↑";"→";"←";"↘";"↖";"↙";"↗"},{1000000;-1000000;1;-1;1000001;-1000001;999999;-999999})))</definedName>
    <definedName name="RC_Ref_Convert">_xlfn.LAMBDA(_xlpm.St,IFERROR(IF(ISNUMBER(_xlpm.St),ADDRESS(INT(_xlpm.St/10^6),MOD(_xlpm.St,10^6),4),RowNum(_xlpm.St)*10^6+ColNum(_xlpm.St)),_xlfn.XLOOKUP(_xlpm.St,{"↓";"↑";"→";"←";"↘";"↖";"↙";"↗"},{1000000;-1000000;1;-1;1000001;-1000001;999999;-999999})))</definedName>
    <definedName name="Regions" localSheetId="7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_xlpm.mpA,IF(_xlfn.ISOMITTED(_xlpm.AllowMp),_xlpm.mp*IF('Lz_Chess Lab'!Exists("",_xlfn.TOCOL(_xlpm.mp)),"",0),_xlpm.AllowMp),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gions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moveCharacters" localSheetId="7">_xlfn.LAMBDA(_xlpm.TextToRemove,_xlpm.Text,_xlop.CaseSensitive,IF(_xlfn.ISOMITTED(_xlpm.CaseSensitive),_xlfn.REDUCE(LOWER(_xlpm.Text),LOWER('Lz_Chess Lab'!SplitText(_xlpm.TextToRemove)),_xlfn.LAMBDA(_xlpm.i,_xlpm.a,SUBSTITUTE(_xlpm.i,_xlpm.a,""))),_xlfn.REDUCE(_xlpm.Text,'Lz_Chess Lab'!SplitText(_xlpm.TextToRemove),_xlfn.LAMBDA(_xlpm.i,_xlpm.a,SUBSTITUTE(_xlpm.i,_xlpm.a,"")))))</definedName>
    <definedName name="RemoveCharacters">_xlfn.LAMBDA(_xlpm.TextToRemove,_xlpm.Text,_xlop.CaseSensitive,IF(_xlfn.ISOMITTED(_xlpm.CaseSensitive),_xlfn.REDUCE(LOWER(_xlpm.Text),LOWER(SplitText(_xlpm.TextToRemove)),_xlfn.LAMBDA(_xlpm.i,_xlpm.a,SUBSTITUTE(_xlpm.i,_xlpm.a,""))),_xlfn.REDUCE(_xlpm.Text,SplitText(_xlpm.TextToRemove),_xlfn.LAMBDA(_xlpm.i,_xlpm.a,SUBSTITUTE(_xlpm.i,_xlpm.a,"")))))</definedName>
    <definedName name="Reverse" localSheetId="7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everse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GB" localSheetId="7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GB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owNum" localSheetId="7">_xlfn.LAMBDA(_xlpm.addresses,IF(ISNUMBER(_xlpm.addresses),INT(_xlpm.addresses/10^6),1*_xlfn.TEXTAFTER(UPPER(_xlpm.addresses),Alphabet(),-1)))</definedName>
    <definedName name="RowNum">_xlfn.LAMBDA(_xlpm.addresses,IF(ISNUMBER(_xlpm.addresses),INT(_xlpm.addresses/10^6),1*_xlfn.TEXTAFTER(UPPER(_xlpm.addresses),Alphabet(),-1)))</definedName>
    <definedName name="ShiftText" localSheetId="7">_xlfn.LAMBDA(_xlpm.Text,_xlpm.Shift,_xlop.AlongShift,_xlop.AlongLettersOnly,_xlop.NoWrapAround,_xlfn.LET(_xlpm.l,'Lz_Chess Lab'!SplitText(_xlpm.Text),_xlpm.als,IF(_xlpm.AlongShift,_xlpm.AlongShift,0),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hiftText">_xlfn.LAMBDA(_xlpm.Text,_xlpm.Shift,_xlop.AlongShift,_xlop.AlongLettersOnly,_xlop.NoWrapAround,_xlfn.LET(_xlpm.l,SplitText(_xlpm.Text),_xlpm.als,IF(_xlpm.AlongShift,_xlpm.AlongShift,0),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piral" localSheetId="7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iral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litText" localSheetId="7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SplitText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Timer" localSheetId="7">_xlfn.LET(_xlpm.st,NOW(),_xlfn.LAMBDA(_xlpm.x,(NOW()-_xlpm.st)*86400))</definedName>
    <definedName name="Timer">_xlfn.LET(_xlpm.st,NOW(),_xlfn.LAMBDA(_xlpm.x,(NOW()-_xlpm.st)*86400))</definedName>
    <definedName name="TLookup" localSheetId="7">_xlfn.LAMBDA(_xlpm.Table,_xlpm.Rowitem,_xlpm.Columnitem,INDEX(_xlpm.Table,_xlfn.XMATCH(_xlpm.Rowitem,_xlfn.TAKE(_xlpm.Table,,1)),_xlfn.XMATCH(_xlpm.Columnitem,_xlfn.TAKE(_xlpm.Table,1))))</definedName>
    <definedName name="TLookup">_xlfn.LAMBDA(_xlpm.Table,_xlpm.Rowitem,_xlpm.Columnitem,INDEX(_xlpm.Table,_xlfn.XMATCH(_xlpm.Rowitem,_xlfn.TAKE(_xlpm.Table,,1)),_xlfn.XMATCH(_xlpm.Columnitem,_xlfn.TAKE(_xlpm.Table,1))))</definedName>
    <definedName name="Unpivot" localSheetId="7">_xlfn.LAMBDA(_xlpm.KeepColumns,_xlpm.UnpivotColumns,_xlop.KeepBlanks,_xlfn.LET(_xlpm.nr,COLUMNS(_xlpm.UnpivotColumns),_xlpm.tb,_xlfn.HSTACK('Lz_Chess Lab'!VStacks(_xlpm.KeepColumns,_xlpm.nr),_xlfn.TOCOL(_xlpm.UnpivotColumns,,1)),IF(_xlpm.KeepBlanks,_xlpm.tb,_xlfn._xlws.FILTER(_xlpm.tb,_xlfn.TAKE(_xlpm.tb,,-1)&lt;&gt;""))))</definedName>
    <definedName name="Unpivot">_xlfn.LAMBDA(_xlpm.KeepColumns,_xlpm.UnpivotColumns,_xlop.KeepBlanks,_xlfn.LET(_xlpm.nr,COLUMNS(_xlpm.UnpivotColumns),_xlpm.tb,_xlfn.HSTACK(VStacks(_xlpm.KeepColumns,_xlpm.nr),_xlfn.TOCOL(_xlpm.UnpivotColumns,,1)),IF(_xlpm.KeepBlanks,_xlpm.tb,_xlfn._xlws.FILTER(_xlpm.tb,_xlfn.TAKE(_xlpm.tb,,-1)&lt;&gt;""))))</definedName>
    <definedName name="VStacks" localSheetId="7">_xlfn.LAMBDA(_xlpm.Array,_xlpm.NoTimes,_xlop.Hstk,IFERROR(_xlfn.REDUCE(_xlpm.Array,_xlfn.SEQUENCE(_xlpm.NoTimes-1),_xlfn.LAMBDA(_xlpm.a,_xlpm.v,IF(_xlpm.Hstk,_xleta.HSTACK,_xleta.VSTACK)(_xlpm.a,_xlpm.Array))),_xlpm.Array))</definedName>
    <definedName name="VStacks">_xlfn.LAMBDA(_xlpm.Array,_xlpm.NoTimes,_xlop.Hstk,IFERROR(_xlfn.REDUCE(_xlpm.Array,_xlfn.SEQUENCE(_xlpm.NoTimes-1),_xlfn.LAMBDA(_xlpm.a,_xlpm.v,IF(_xlpm.Hstk,_xleta.HSTACK,_xleta.VSTACK)(_xlpm.a,_xlpm.Array))),_xlpm.Array))</definedName>
    <definedName name="WordMaker" localSheetId="7">_xlfn.LAMBDA(_xlpm.Word_to_Make,_xlpm.Tiles,_xlop.Case_Sensitive,_xlfn.MAP(_xlpm.Word_to_Make,_xlfn.LAMBDA(_xlpm.wl,_xlfn.LET(_xlpm.t,IF(_xlpm.Case_Sensitive,_xlpm.Tiles,UPPER(_xlpm.Tiles)),_xlpm.w,IF(_xlpm.Case_Sensitive,'Lz_Chess Lab'!SplitText(_xlpm.wl),'Lz_Chess Lab'!SplitText(UPPER(_xlpm.wl))), _xlpm.lg,LEN(_xlpm.t)-LEN(_xlfn.REDUCE(_xlpm.t,_xlpm.w,_xlfn.LAMBDA(_xlpm.a,_xlpm.v,SUBSTITUTE(_xlpm.a,_xlpm.v,"",1)))), LEN(_xlpm.wl)=_xlpm.lg))))</definedName>
    <definedName name="WordMaker">_xlfn.LAMBDA(_xlpm.Word_to_Make,_xlpm.Tiles,_xlop.Case_Sensitive,_xlfn.MAP(_xlpm.Word_to_Make,_xlfn.LAMBDA(_xlpm.wl,_xlfn.LET(_xlpm.t,IF(_xlpm.Case_Sensitive,_xlpm.Tiles,UPPER(_xlpm.Tiles)),_xlpm.w,IF(_xlpm.Case_Sensitive,SplitText(_xlpm.wl),SplitText(UPPER(_xlpm.wl))), _xlpm.lg,LEN(_xlpm.t)-LEN(_xlfn.REDUCE(_xlpm.t,_xlpm.w,_xlfn.LAMBDA(_xlpm.a,_xlpm.v,SUBSTITUTE(_xlpm.a,_xlpm.v,"",1)))), LEN(_xlpm.wl)=_xlpm.lg))))</definedName>
    <definedName name="WordValue" localSheetId="7">_xlfn.LAMBDA(_xlpm.Text,_xlpm.Letters,_xlpm.Values,_xlop.Case_Sensitive,_xlop.Join,_xlop.Delimiter,_xlfn.MAP(_xlpm.Text,_xlfn.LAMBDA(_xlpm.b,_xlfn.LET(_xlpm.dl,IF(_xlfn.ISOMITTED(_xlpm.Delimiter),"-",_xlpm.Delimiter),_xlpm.m,IF(_xlfn.ISOMITTED(_xlpm.Join),0,""), _xlpm.l,'Lz_Chess Lab'!SplitText(_xlpm.b),_xlpm.lu,IF(_xlfn.ISOMITTED(_xlpm.Case_Sensitive),_xlfn.XLOOKUP(_xlpm.l,_xlpm.Letters,_xlpm.Values,_xlpm.m),_xlfn.MAP(_xlpm.l,_xlfn.LAMBDA(_xlpm.a,IFERROR(_xlfn.TOCOL(IF(EXACT(_xlpm.a,_xlpm.Letters),_xlpm.Values,NA()),3),IF(_xlpm.Join,"",0))))),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  <definedName name="WordValue">_xlfn.LAMBDA(_xlpm.Text,_xlpm.Letters,_xlpm.Values,_xlop.Case_Sensitive,_xlop.Join,_xlop.Delimiter,_xlfn.MAP(_xlpm.Text,_xlfn.LAMBDA(_xlpm.b,_xlfn.LET(_xlpm.dl,IF(_xlfn.ISOMITTED(_xlpm.Delimiter),"-",_xlpm.Delimiter),_xlpm.m,IF(_xlfn.ISOMITTED(_xlpm.Join),0,""), _xlpm.l,SplitText(_xlpm.b),_xlpm.lu,IF(_xlfn.ISOMITTED(_xlpm.Case_Sensitive),_xlfn.XLOOKUP(_xlpm.l,_xlpm.Letters,_xlpm.Values,_xlpm.m),_xlfn.MAP(_xlpm.l,_xlfn.LAMBDA(_xlpm.a,IFERROR(_xlfn.TOCOL(IF(EXACT(_xlpm.a,_xlpm.Letters),_xlpm.Values,NA()),3),IF(_xlpm.Join,"",0))))),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N8" i="4" l="1" a="1"/>
  <c r="H23" i="4" a="1"/>
  <c r="H26" i="4" a="1"/>
  <c r="H20" i="4" a="1"/>
  <c r="R16" i="8" a="1"/>
  <c r="Q4" i="8" a="1"/>
  <c r="J20" i="8" a="1"/>
  <c r="C16" i="8" a="1"/>
  <c r="C5" i="8" a="1"/>
  <c r="E5" i="4" a="1"/>
  <c r="H17" i="4" a="1"/>
  <c r="H6" i="4" a="1"/>
  <c r="N13" i="4" a="1"/>
  <c r="H8" i="4" a="1"/>
  <c r="N6" i="4" a="1"/>
  <c r="E16" i="8" l="1" a="1"/>
  <c r="G16" i="8" a="1"/>
  <c r="B24" i="7" a="1"/>
  <c r="DZ30" i="6" a="1"/>
  <c r="BQ17" i="6" a="1"/>
  <c r="AC16" i="6" a="1"/>
  <c r="CV15" i="6"/>
  <c r="CU15" i="6"/>
  <c r="DM16" i="6" s="1"/>
  <c r="CT15" i="6"/>
  <c r="DL16" i="6" s="1"/>
  <c r="CS15" i="6"/>
  <c r="DK16" i="6" s="1"/>
  <c r="AC8" i="6" a="1"/>
  <c r="AC7" i="6" a="1"/>
  <c r="DG1" i="6" a="1"/>
  <c r="B28" i="5" a="1"/>
  <c r="B2" i="5" a="1"/>
  <c r="AD27" i="7" l="1" a="1"/>
  <c r="H27" i="7" a="1"/>
  <c r="BX77" i="6"/>
  <c r="BX66" i="6"/>
  <c r="BX76" i="6"/>
  <c r="BX65" i="6"/>
  <c r="BX54" i="6" a="1"/>
  <c r="AC9" i="6" s="1"/>
  <c r="BV77" i="6"/>
  <c r="BV66" i="6"/>
  <c r="BV76" i="6"/>
  <c r="BV65" i="6"/>
  <c r="BV54" i="6" a="1"/>
  <c r="AC11" i="6"/>
  <c r="AC12" i="6"/>
  <c r="AC10" i="6"/>
  <c r="BZ65" i="6" a="1"/>
  <c r="BZ76" i="6" a="1"/>
  <c r="AT7" i="6" l="1" a="1"/>
  <c r="BZ54" i="6" s="1" a="1"/>
  <c r="AU16" i="6" a="1"/>
  <c r="AU6" i="6" a="1"/>
  <c r="AT17" i="6" a="1"/>
  <c r="AC14" i="6"/>
  <c r="AU7" i="6" l="1" a="1"/>
  <c r="BD7" i="6" s="1" a="1"/>
  <c r="CH30" i="6" s="1" a="1"/>
  <c r="CH17" i="6" l="1" a="1"/>
  <c r="AZ7" i="6" a="1"/>
  <c r="AU17" i="6" a="1"/>
  <c r="CH43" i="6" l="1" a="1"/>
  <c r="CH65" i="6" s="1" a="1"/>
  <c r="AA3" i="5" a="1"/>
  <c r="AB2" i="5" a="1"/>
  <c r="BG17" i="6" l="1" a="1"/>
  <c r="CH76" i="6" a="1"/>
  <c r="CH54" i="6" a="1"/>
  <c r="CH2" i="6" a="1"/>
  <c r="AB3" i="5" a="1"/>
  <c r="C21" i="3" a="1"/>
  <c r="C6" i="3" a="1"/>
  <c r="B22" i="3" a="1"/>
  <c r="D40" i="2"/>
  <c r="C44" i="2" s="1"/>
  <c r="D41" i="2"/>
  <c r="D44" i="2" s="1"/>
  <c r="D42" i="2"/>
  <c r="E44" i="2" s="1"/>
  <c r="B2" i="2" a="1"/>
  <c r="C14" i="2" s="1"/>
  <c r="W2" i="2" l="1" a="1"/>
  <c r="F16" i="2" s="1"/>
  <c r="Z2" i="2" a="1"/>
  <c r="CR43" i="6" a="1"/>
  <c r="N45" i="2" a="1"/>
  <c r="X2" i="2" s="1" a="1"/>
  <c r="C35" i="3" a="1"/>
  <c r="C15" i="2"/>
  <c r="AA1" i="2" s="1" a="1"/>
  <c r="U47" i="3" a="1"/>
  <c r="C22" i="3" s="1" a="1"/>
  <c r="F15" i="2" l="1"/>
  <c r="C48" i="3" a="1"/>
  <c r="DB17" i="6" s="1" a="1"/>
  <c r="C17" i="2"/>
  <c r="AA2" i="2" s="1" a="1"/>
  <c r="D48" i="3" s="1" a="1"/>
  <c r="C16" i="2"/>
  <c r="T22" i="3" a="1"/>
  <c r="F17" i="2"/>
  <c r="E20" i="2" s="1" a="1"/>
  <c r="F14" i="2"/>
  <c r="AN2" i="2" l="1" a="1"/>
  <c r="D20" i="2" a="1"/>
  <c r="F48" i="3" s="1" a="1"/>
  <c r="N48" i="3" s="1" a="1"/>
  <c r="CR17" i="6" a="1"/>
  <c r="CR30" i="6" a="1"/>
  <c r="DG17" i="6" s="1" a="1"/>
  <c r="L20" i="2" a="1"/>
  <c r="K20" i="2" a="1"/>
  <c r="I48" i="3" l="1" a="1"/>
  <c r="H20" i="2" s="1" a="1"/>
  <c r="I20" i="2" s="1" a="1"/>
  <c r="DD17" i="6" s="1" a="1"/>
  <c r="DI17" i="6" s="1" a="1"/>
  <c r="DC17" i="6" s="1" a="1"/>
  <c r="O48" i="3" s="1" a="1"/>
  <c r="O20" i="2" a="1"/>
  <c r="AJ20" i="2" a="1"/>
  <c r="AD20" i="2" l="1" a="1"/>
  <c r="R20" i="2" a="1"/>
  <c r="DH17" i="6" s="1" a="1"/>
  <c r="G20" i="2" a="1"/>
  <c r="C45" i="2" s="1" a="1"/>
  <c r="N20" i="2" l="1" a="1"/>
  <c r="DK17" i="6" s="1" a="1"/>
  <c r="P20" i="2" a="1"/>
  <c r="D45" i="2" l="1" a="1"/>
  <c r="DO17" i="6" s="1" a="1"/>
  <c r="E45" i="2" s="1" a="1"/>
  <c r="I45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str(int(xl(%P2%))+int(xl(%P3%)))</code>
    </pythonScript>
    <pythonScript>
      <code xml:space="preserve">str(int(xl(%P2%))/int(xl(%P3%)))
</code>
    </pythonScript>
  </pythonScripts>
</python>
</file>

<file path=xl/sharedStrings.xml><?xml version="1.0" encoding="utf-8"?>
<sst xmlns="http://schemas.openxmlformats.org/spreadsheetml/2006/main" count="735" uniqueCount="320">
  <si>
    <t>_regPattern</t>
  </si>
  <si>
    <t>=list [start_1word_2line] [end_1word_2line] [caseSens] [sanitize]     IF(caseSens, "", "(?i)") &amp; "(" "|"               SWITCH(start_1word_2line, 1, "\b", 2, "^", "")                &amp; IF(sanitize, _regSanitize(list), list) end_1word_2line  1  "\b"  2  "$"</t>
  </si>
  <si>
    <t>_regSanitize</t>
  </si>
  <si>
    <t>=LAMBDA(input_text, LET(    _chars, {"\";".";"+";"*";"?";"^";"$";"|";"(";")";"[";"]";"{";"}";"-"},    REDUCE(input_text,_chars,       LAMBDA(acc,char, SUBSTITUTE(acc, char, "\" &amp; char)))))</t>
  </si>
  <si>
    <t>A_Arrows</t>
  </si>
  <si>
    <t>={"←";"↑";"→";"↓";"↖";"↗";"↘";"↙"}</t>
  </si>
  <si>
    <t>Ad_To_Contents</t>
  </si>
  <si>
    <t>=LAMBDA(Ad,map,[OOB],LET(r,RowNum(Ad),c,ColNum(Ad),RC,r*10^6+c,rcn,ROW(map)*1000000+COLUMN(map),  out,ISNA(XMATCH(RC,TOCOL(rcn))),ob,IF(ISOMITTED(OOB),"OOB",OOB),  rs,IF(out,ob,INDEX(map,r-@ROW(map)+1,c-@COLUMN(map)+1) ),rs))</t>
  </si>
  <si>
    <t>AddressOfCells</t>
  </si>
  <si>
    <t>Alphabet</t>
  </si>
  <si>
    <t>=LAMBDA(CHAR(SEQUENCE(26,,65)))</t>
  </si>
  <si>
    <t>ArrayShift</t>
  </si>
  <si>
    <t xml:space="preserve">=Array [RowShift] [ColumnShift] [Fill] [WrapAround] IF(ISOMITTED(Fill),"X",Fill) RowShift ColumnShift WrapAround Array ROWS(a) COLUMNS(a) IF(wa,TAKE(a,-(MOD(rs-1,r)+1)),EXPAND(fl,MIN(ABS(rs),r),c,fl)) rs=0 a wa VSTACK(rf,TAKE(a,r-ROWS(rf))) rf </t>
  </si>
  <si>
    <t>Arrows</t>
  </si>
  <si>
    <t>=LAMBDA([ShowHV],IF(ShowHV,{"↓",1,0;"↑",-1,0;"→",0,1;"←",0,-1;"↘",1,1;"↖",-1,-1;"↙",1,-1;"↗",-1,1},{"↓";"↑";"→";"←";"↘";"↖";"↙";"↗"}))</t>
  </si>
  <si>
    <t>BiCol</t>
  </si>
  <si>
    <t>Biggest</t>
  </si>
  <si>
    <t>=LAMBDA(Range,Return,[Smallest],[N],LET(nu,IF(ISOMITTED(N),1,N),s,SORTBY(Return,Range,IF(Smallest,1,-1)), IF(COLUMNS(Return)=1,CHOOSEROWS(s,nu),CHOOSECOLS(s,nu))))</t>
  </si>
  <si>
    <t>BiRow</t>
  </si>
  <si>
    <t>BlockOutMap</t>
  </si>
  <si>
    <t>BoardGameMove</t>
  </si>
  <si>
    <t>=LAMBDA(MoveValue,EndSpace,MOD(MoveValue-1,EndSpace)+1)</t>
  </si>
  <si>
    <t>ByRectangle</t>
  </si>
  <si>
    <t>=LAMBDA(Range,Function,Rows,[Columns],LET(cls,IF(ISOMITTED(Columns),Rows,Columns),MAP(DROP(Range,1-Rows,1-cls),DROP(Range,Rows-1,cls-1),LAMBDA(a,b,Function(a:b)))))</t>
  </si>
  <si>
    <t>CardDetails</t>
  </si>
  <si>
    <t>={"Card","Colour","Suit","Value","Suit Symbol";"A♠","Black","Spades",1,"♠";"2♠","Black","Spades",2,"♠";"3♠","Black","Spades",3,"♠";"4♠","Black","Spades",4,"♠";"5♠","Black","Spades",5,"♠";"6♠","Black","Spades",6,"♠";"7♠","Black","Spades",</t>
  </si>
  <si>
    <t>CaseQuestions</t>
  </si>
  <si>
    <t>cell_arround</t>
  </si>
  <si>
    <t>=LAMBDA(Input1, LET(
   \\LambdaName, "cell_arround",
   _Rw, N_ROWOFCELLREF(Input1),
   _Col, N_COLOFCELLREF(Input1),
   _Rw_2, _Rw + {-1;1},
   _Cl, _Rw + {-1;1},
   _Result, VSTACK(ADDRESS(_Rw_2, _Col, 4), ADDRESS(_Rw, _Cl, 4)),
   _Result
))</t>
  </si>
  <si>
    <t>ClosestOnMap</t>
  </si>
  <si>
    <t xml:space="preserve">=mp st Steps [No_Diag] [Items] [RCaa_CRaa_RCad_CRad_RCda_CRda_RCdd_CRdd] RCaa_CRaa_RCad_CRad_RCda_CRda_RCdd_CRdd ROWS(mp) COLUMNS(mp) INDEX(mp,MAX(RowNum(st)-MIN(ROW(mp))+1-Steps,1),MAX(ColNum(st)-MIN(COLUMN(mp))+1-Steps,1)) mp RowNum(st)-MIN(ROW(mp)) </t>
  </si>
  <si>
    <t>ColNum</t>
  </si>
  <si>
    <t>=LAMBDA(address,IF(ISNUMBER(address),MOD(address,10^6),LET(result,MAP(TEXTBEFORE(address,SEQUENCE(9)), LAMBDA(ca,LET(s,SEQUENCE(LEN(ca)),SUM((CODE(MID(UPPER(ca),s,1))-64)*26^-SORT(1-s))))),IF(COUNTA(address)=1,CONCAT(result)*1,result))))</t>
  </si>
  <si>
    <t>Combinations</t>
  </si>
  <si>
    <t>Consecutives</t>
  </si>
  <si>
    <t>=LAMBDA(array,IF(COUNTA(array)&gt;1,SCAN(1,--(Prev(array)=array),LAMBDA(a,v,a*v+1)), SCAN(1,--(Prev(SplitText(array))=SplitText(array)),LAMBDA(a,v,a*v+1))))</t>
  </si>
  <si>
    <t>CountOcc</t>
  </si>
  <si>
    <t>=LAMBDA(OccOf,Text,[Case],IF(ISOMITTED(Case),(LEN(Text)-LEN(SUBSTITUTE(LOWER(Text),LOWER(OccOf),"")))/LEN(OccOf),(LEN(Text)-LEN(SUBSTITUTE(Text,OccOf,"")))/LEN(OccOf)))</t>
  </si>
  <si>
    <t>DAXCOMB</t>
  </si>
  <si>
    <t xml:space="preserve">=ranges takes  "DAXCOMB"  TOCOL(ranges)  IF(ISERROR(aa * 1), """", "") &amp; aa &amp; IF(ISERROR(aa * 1), """", "") 
      "EVALUATE" 
      "CROSSJOIN(" 
      "SELECTCOLUMNS({" &amp; TEXTJOIN(",", , a) &amp; "}, " &amp; """" &amp; "Val" &amp; SEQUENCE(takes) &amp; """"  ",[Value])" </t>
  </si>
  <si>
    <t>Dice</t>
  </si>
  <si>
    <t xml:space="preserve">=Dice [add] [join] MAP(Dice,LAMBDA(a,LET(l,IFERROR(SplitText(a),""),m,IF(add,0,IF(join,"",l)),rs,IFERROR(XLOOKUP(l,{"⚀";"⚁";"⚂";"⚃";"⚄";"⚅"},{1;2;3;4;5;6}),m), end,IF(add,SUM,CONCAT)(rs),IF(COUNTA(end)=1,CONCAT(end),end)))) COUNTA(end)=1 CONCAT(end) end </t>
  </si>
  <si>
    <t>Distance</t>
  </si>
  <si>
    <t xml:space="preserve">=start end [h] [v] [d] [pythag] [knight] ABS(RowNum(start)-RowNum(end)) ABS(ColNum(start)-ColNum(end)) MAP(HSTACK(rd),HSTACK(cd),MAX) MAP(HSTACK(rd),HSTACK(cd),MIN) IF(ISOMITTED(h),0,IF(ISOMITTED(d),rd*v+cd*h,md*d+(rd-md)*v+(cd-md)*h)) pythag </t>
  </si>
  <si>
    <t>DISTINCTCOUNT</t>
  </si>
  <si>
    <t>=LAMBDA(range,[tables?], LET(
   \\LambdaName, "DISTINCTCOUNT",
   IF(
      ISOMITTED(tables?),
      ROWS(UNIQUE(TOCOL(range))),
      IF(tables? = 1, ROWS(UNIQUE(range)))
   )
))</t>
  </si>
  <si>
    <t>Exists</t>
  </si>
  <si>
    <t>ExtractNumbers</t>
  </si>
  <si>
    <t>=LAMBDA(text,[With_Decimals],REGEXEXTRACT(text,IF(ISOMITTED(With_Decimals),"[-+]?\d+","[-+]?\d*\.\d+|[-+]?\d+"),1)*1)</t>
  </si>
  <si>
    <t>Find_In_Map</t>
  </si>
  <si>
    <t>=LAMBDA(mp,items,LET(a,Flatten(mp),incells,TAKE(a,,-1),addresses,TAKE(a,,1),FILTER(addresses,ISNUMBER(XMATCH(incells,items)),"Not Found")))</t>
  </si>
  <si>
    <t>Flatten</t>
  </si>
  <si>
    <t xml:space="preserve">=array [scan_by_column] [include_blanks] AddressOfCells(array) TOCOL(array,,IF(scan_by_column,1,0)) HSTACK(TOCOL(celladdresses,,IF(scan_by_column=1,1,0)),incells) IF(include_blanks,flatten,FILTER(flatten,IFERROR(TAKE(flatten,,-1)&lt;&gt;"",FALSE))) output </t>
  </si>
  <si>
    <t>Fold</t>
  </si>
  <si>
    <t>Longaddition</t>
  </si>
  <si>
    <t xml:space="preserve">=nums1 nums2 [multiply] [subtract] multiply SEQUENCE(LEN(nums1))+SEQUENCE(,LEN(nums2)) MID(nums1,SEQUENCE(LEN(nums1),,LEN(nums1),-1),1)*TOROW(MID(nums2,SEQUENCE(LEN(nums2),,LEN(nums2),-1),1)) GROUPBY(TOCOL(diagonals),TOCOL(multiarray),SUM,0,0)  1 </t>
  </si>
  <si>
    <t>Lz_Add_Range</t>
  </si>
  <si>
    <t>=LAMBDA(range, LET(    \\LambdaName, "Lz_Add_range",    ADDRESS(ROW(range), COLUMN(range), 4) ))</t>
  </si>
  <si>
    <t>Lz_Adjacent</t>
  </si>
  <si>
    <t>Lz_Distance</t>
  </si>
  <si>
    <t xml:space="preserve">=_c1 _c2 [_Diag1_NoDiag2_Pythag3_Losange4]  "Lz_Distance"  REGEXEXTRACT(_c1, "\d+") * 1  COLUMN(INDIRECT(_c1))  IF(       ISOMITTED(_Diag1_NoDiag2_Pythag3_Losange4),       1,       _Diag1_NoDiag2_Pythag3_Losange4    )  REGEXEXTRACT(_c2, "\d+") * 1 _c2 </t>
  </si>
  <si>
    <t>Lz_RangeFromTo</t>
  </si>
  <si>
    <t xml:space="preserve">=_From _To [view]  "Lz_RangeFromTo"  ROW(INDIRECT(HSTACK(_From, _To)))  COLUMN(INDIRECT(HSTACK(_From, _To)))        SEQUENCE(          @TAKE(_Step1, , -1) - @TAKE(_Step1, , 1) + 1,          ,          @TAKE(_Step1, , 1)       )            _Step2   </t>
  </si>
  <si>
    <t>Maze</t>
  </si>
  <si>
    <t xml:space="preserve">=mp st [targets] [No_Diag] [AllowMp] [Custom_Directions] {-1000000,-1,1,1000000,-1000001,-999999,999999,1000001} IF(ISOMITTED(Custom_Directions),TAKE(directions,,8-4*No_Diag),TOROW(Custom_Directions,3)) IF(ISERR(@LET(rng,mp,ROW(rng))),1,0) nv ROWS(mp) </t>
  </si>
  <si>
    <t>MazeDistance</t>
  </si>
  <si>
    <t xml:space="preserve">=mp st [Targets] [No_Diag] [AllowMp] [Show_Steps] [Custom_Directions] [Mazelam] HSTACK(1000000,-1000000,1,-1,1000001,-1000001,999999,-999999) IF(ISOMITTED(Custom_Directions),TAKE(directions,,8-4*No_Diag),TOROW(Custom_Directions,3)) rng mp ROW(rng) </t>
  </si>
  <si>
    <t>MostOf</t>
  </si>
  <si>
    <t>=LAMBDA(array,GROUPBY(TOCOL(IF(COUNTA(array)=1,SplitText(array),array),3),TOCOL(IF(COUNTA(array)=1,SplitText(array),array),3),ROWS,0,0,-2))</t>
  </si>
  <si>
    <t>MoveOnMap</t>
  </si>
  <si>
    <t xml:space="preserve">=St Arrow [Multiple] [mp] [Stop] [Glide] [Bounce] [WrapAround] [AllowMp] [ShowPath] Arrow 10^6 RowNum(St) ColNum(St) r*M+c ROW(mp) COLUMN(mp) rmp*M+cmp MIN(rmp) MIN(cmp) MAX(rmp) MAX(cmp) IF(ISOMITTED(Multiple),1,Multiple) ISOMITTED(AllowMp) rcn AllowMp </t>
  </si>
  <si>
    <t>N_ADJCELL</t>
  </si>
  <si>
    <t xml:space="preserve">=_Cell [_Radius] [_ForHvd2ForHv3ForPyth]  "N_ADJCELL"  N_ROWOFCELLREF(_Cell)  N_COLOFCELLREF(_Cell)  IF(ISOMITTED(_Radius), 1, _Radius)  IF(ISOMITTED(_ForHvd2ForHv3ForPyth), 1, _ForHvd2ForHv3ForPyth)  _Rradius * 2 + 1  SEQUENCE(_LongLarg, , -_Rradius)   </t>
  </si>
  <si>
    <t>N_ADMREF</t>
  </si>
  <si>
    <t>=LAMBDA(cell, LET(
   \\LambdaName, "N_ADMREF",
   MAP(cell, LAMBDA(a, N_ROWOFCELLREF(a) * 10 ^ 6 + N_COLOFCELLREF(a)))
))</t>
  </si>
  <si>
    <t>N_ADTOCONTENT</t>
  </si>
  <si>
    <t xml:space="preserve">=ads target [clip] [OOB] [mapAct_where_ads_are_in_reality]  "N_ADTOCONTENT"  1000000  0 _M _Mres ad 
         ISNUMBER(ad) 
         ad cell 
                  cell c  MID(c, SEQUENCE(, LEN(c)), 1) VALUE(cellArray) </t>
  </si>
  <si>
    <t>N_ARRAYSOFARRAYS</t>
  </si>
  <si>
    <t xml:space="preserve">=input_table calculation_lambda [byrow]  "N_ARRAYSOFARRAYS" 
      ROWS(input_table) = 0 
      "Input table is empty"  IF(ISOMITTED(byrow), FALSE, byrow = 1) 
            use_by_row_logic  SEQUENCE(ROWS(input_table)) 
                  "" </t>
  </si>
  <si>
    <t>N_COLOFCELLREF</t>
  </si>
  <si>
    <t xml:space="preserve">=adresse  MAP(       REGEXEXTRACT(adresse,"[A-Za-z]+"),       LAMBDA(ca, LET(          s, SEQUENCE(LEN(ca)),          SUM((CODE(MID(UPPER(ca), s, 1)) - 64) * 26 ^ -SORT(1 - s))       ))    )     IF(COUNTA(adresse) = 1, --CONCAT(result), result) </t>
  </si>
  <si>
    <t>N_CONPIPEPROMAX</t>
  </si>
  <si>
    <t>=LAMBDA(from,to,type, LET(
   \\LambdaName, "N_CONPIPEPROMAX",
   MAP(from, to, type, LAMBDA(a,b,c, N_CONPIPES(a, b, c)))
))</t>
  </si>
  <si>
    <t>N_CONPIPES</t>
  </si>
  <si>
    <t xml:space="preserve">=from to [type]  "N_CONPIPES"  N_FLATE(
      XLOOKUP(
         from,
         {"═";"║";"╔";"╗";"╚";"╝";"╠";"╣";"╦";"╩";"╬"},
         {"0101";"1010";"0011";"0110";"1001";"1100";"1011";"1110";"0111";"1101";"1111"}
      )
   )  N_FLATE 
         to </t>
  </si>
  <si>
    <t>N_COUNTOCC</t>
  </si>
  <si>
    <t xml:space="preserve">=character_sequence character_to_be_replaced [NonCaseSensitive]  "N_COUNTOCC" 
      character_sequence NonCaseSensitive character_to_be_replaced a  IF(ISOMITTED(NonCaseSensitive), a, UPPER(a)) LEN(x) 
                  x NonCaseSensitive </t>
  </si>
  <si>
    <t>N_DICEPIPS</t>
  </si>
  <si>
    <t>=LAMBDA(dices, LET(
   \\LambdaName, "N_DICEPIPS",
   MAP(dices, LAMBDA(a, UNICODE(a) - 9855))
))</t>
  </si>
  <si>
    <t>N_DIJKSTRA</t>
  </si>
  <si>
    <t xml:space="preserve">=Data Source [Target] [Paths]  "N_DIJKSTRA"  DROP(CHOOSECOLS(Data, 1), 1)  DROP(CHOOSECOLS(Data, 2), 1)  DROP(CHOOSECOLS(Data, -1), 1)  UNIQUE(VSTACK(_City1, _City2))  Source  0  MAP(_City1, _City2, LAMBDA(a,v, CONCAT(SORT(VSTACK(a, v))))) _UniqueCities </t>
  </si>
  <si>
    <t>N_DISTFROM</t>
  </si>
  <si>
    <t xml:space="preserve">=StartingCell TargetCell [for_horizontal_vertical_2_for_horizontal_vertical_diagonal_3_for_pythagor]  "N_DISTFROM"  N_ROWOFCELLREF(StartingCell)  N_COLOFCELLREF(StartingCell)  N_ROWOFCELLREF(TargetCell)  N_COLOFCELLREF(TargetCell) </t>
  </si>
  <si>
    <t>N_DOMINOES</t>
  </si>
  <si>
    <t>= "N_DOMINOES" 
   {"Tile","Side 1","Side 2","Total","Double?";"🀱",0,0,0,1;"🀲",0,1,1,0;"🀳",0,2,2,0;"🀴",0,3,3,0;"🀵",0,4,4,0;"🀶",0,5,5,0;"🀷",0,6,6,0;"🀹",1,1,2,1;"🀺",1,2,3,0;"🀻",1,3,4,0;"🀼",1,4,5,0;"🀽",1,5,6,0;"🀾",1,6,7,0;"🁁",</t>
  </si>
  <si>
    <t>N_DWR</t>
  </si>
  <si>
    <t xml:space="preserve">=Value [take] [List]  "N_DWR"  COUNTA(Value)  2 ^ Cl - 1  2 ^ (SEQUENCE(, Cl) - 1)  MAKEARRAY(rw, Cl, LAMBDA(r,c, BITAND(r, INDEX(Pow, , c)) &gt; 0))  MMULT(--Tab, SEQUENCE(Cl, , 1, 0) ^ 0)  IF(Tab, SEQUENCE(, Cl), 0) RectTab  INDEX(Value, RectTab)  NA() </t>
  </si>
  <si>
    <t>N_EXCEPT</t>
  </si>
  <si>
    <t>=LAMBDA(array,exclude, LET(
   \\LambdaName, "N_EXCEPT",
   FILTER(array, NOT(ISNUMBER(XMATCH(array, exclude))))
))</t>
  </si>
  <si>
    <t>N_EXTRACTNUMS</t>
  </si>
  <si>
    <t>=LAMBDA(texte,[tokkens?], LET(
   \\LambdaName, "N_EXTRACTNUMS",
   IFERROR(
      --TOCOL(REGEXEXTRACT(texte, "\d" &amp; IF(ISOMITTED(tokkens?), "+", ""), 1)),
      "n/a"
   )
))</t>
  </si>
  <si>
    <t>N_EXTRACTTEXT</t>
  </si>
  <si>
    <t>=LAMBDA(texte,[tokkens?], LET(
   \\LambdaName, "N_EXTRACTTEXT",
   IFERROR(
      TOCOL(
         REGEXEXTRACT(texte, "[A-Za-z]" &amp; IF(ISOMITTED(tokkens?), "+", ""), 1)
      ),
      "n/a"
   )
))</t>
  </si>
  <si>
    <t>N_FLATE</t>
  </si>
  <si>
    <t xml:space="preserve">=texte [by] [no_repeat]  "N_FLATE"  IF(ISOMITTED(no_repeat), 0, no_repeat)  MID(texte, SEQUENCE(LEN(texte)), 1)  IF(ISOMITTED(by), 1, by) 
         _NoRepeatVal 
         WRAPROWS(SEQUENCE(ROWS(_FlattenData)), _by) ROWS(_FlattenData) </t>
  </si>
  <si>
    <t>N_FOLD</t>
  </si>
  <si>
    <t xml:space="preserve">=array dir [keep_ol_vals?] [fold?] [fill_with]  "N_FOLD"  array  ROWS(_Ar)  COLUMNS(_Ar) 
      ISNUMBER(SEARCH(dir, "↖↘")) 
      SEQUENCE(, _Rw, _Rw, -1) 
         ISNUMBER(SEARCH(dir, "↙↗")) 
         SEQUENCE(, _Rw) SEARCH(dir, "↑↓") </t>
  </si>
  <si>
    <t>N_French</t>
  </si>
  <si>
    <t>=LAMBDA(from, LET(\\LambdaName, "N_French", TRANSLATE(from, , "fr")))</t>
  </si>
  <si>
    <t>N_KEEP</t>
  </si>
  <si>
    <t>=LAMBDA(array,Keep,[Except?], LET(    \\LambdaName, "N_KEEP",    except, IF(ISOMITTED(Except?), 0, Except?),    FILTER(array, IF(except, NOT(ISNUMBER(XMATCH(array, Keep))), (ISNUMBER(XMATCH(array, Keep))))) ))</t>
  </si>
  <si>
    <t>N_MAXLOOKUP</t>
  </si>
  <si>
    <t>=LAMBDA(lookup_array,return_array,[If_not_found], LET(
   \\LambdaName, "N_MAXLOOKUP",
   XLOOKUP(
      10 ^ 10,
      lookup_array,
      return_array,
      IF(ISOMITTED(If_not_found), "n/a", If_not_found),
      -1
   )
))</t>
  </si>
  <si>
    <t>N_MAZESOLVER</t>
  </si>
  <si>
    <t xml:space="preserve">=mp st [Targets] [No_Diag] [Cus_Dir]  "N_MAZESOLVER"  1000000  MAP(st, LAMBDA(a, N_ROWOFCELLREF(a) * M + N_COLOFCELLREF(a)))  {1000000,-1000000,1,-1,1000001,-1000001,999999,-999999} 
      ISOMITTED(Cus_Dir) dir    8  4 ISOMITTED(No_Diag)  0  No_Diag </t>
  </si>
  <si>
    <t>N_MEXPAND</t>
  </si>
  <si>
    <t xml:space="preserve">=map starting_cell [allowed_moves] [blocks]  "N_MEXPAND"  NOW()  map  IF(ISOMITTED(blocks), "X", blocks)  IF(
      ISOMITTED(allowed_moves),
      {-1000001;-1000000;-999999;-1;1;999999;1000000;1000001},
      allowed_moves
   )  RowOfCellAdd </t>
  </si>
  <si>
    <t>N_MINLOOKUP</t>
  </si>
  <si>
    <t>=LAMBDA(lookup_array,return_array,[If_not_found], LET(
   \\LambdaName, "N_MINLOOKUP",
   XLOOKUP(
      -10 ^ 9,
      lookup_array,
      return_array,
      IF(ISOMITTED(If_not_found), "n/a", If_not_found),
      1
   )
))</t>
  </si>
  <si>
    <t>N_MOSTOF</t>
  </si>
  <si>
    <t xml:space="preserve">=rng [ScanByCols] [Ignore] [OnlyFirst] [LabelOrder] [ValueOrder]  "N_MOSTOF"  IF(ISOMITTED(ScanByCols), 0, ScanByCols)  IF(ISOMITTED(Ignore), 0, Ignore)  IF(ISOMITTED(LabelOrder), 1, LabelOrder)  IF(ISOMITTED(ValueOrder), -1, ValueOrder) rng  Ig  SbC </t>
  </si>
  <si>
    <t>N_PATHS</t>
  </si>
  <si>
    <t xml:space="preserve">=Start Mvts [Min_Col] [Max_Col] [Min_Row] [Max_Row] [Paths] [Cols]  "N_PATHS"  Start  IF(ISOMITTED(Min_Col), 1, Min_Col)  IF(ISOMITTED(Max_Col), 16384, Max_Col)  IF(ISOMITTED(Min_Row), 1, Min_Row)  IF(ISOMITTED(Max_Row), 1048576, Max_Row) Paths </t>
  </si>
  <si>
    <t>N_PIPESSOLVER</t>
  </si>
  <si>
    <t xml:space="preserve">=maps start_cell [data?]  "N_PIPESSOLVER"  TOCOL(maps)  TOCOL(ADDRESS(ROW(maps), COLUMN(maps), 4))  N_ROWOFCELLREF(AdMp) * 10 ^ 6 + MAP(AdMp, LAMBDA(a, N_COLOFCELLREF(a)))  {1000000,1,-1000000,-1}  {"TB","LR","BT","RL"}  N_ROWOFCELLREF(start_cell)  10 </t>
  </si>
  <si>
    <t>N_RANGETOADD</t>
  </si>
  <si>
    <t>=LAMBDA(plage, LET(
   \\LambdaName, "N_RANGETOADD",
   _Step1, ADDRESS(ROW(plage), COLUMN(plage), 4),
   _Result, TOCOL(_Step1),
   _Result
))</t>
  </si>
  <si>
    <t>N_REPTARRAY</t>
  </si>
  <si>
    <t xml:space="preserve">=arr n [incol]  "N_REPTARRAY"  ROWS(arr)  COLUMNS(arr)  n * numRows  n * numCols  MAKEARRAY(
      totalRows,
      numCols,
      LAMBDA(ligne,col, INDEX(arr, MOD(ligne - 1, numRows) + 1, col))
   ) 
      numRows 
      totalCols arr numCols ligne col </t>
  </si>
  <si>
    <t>N_REVERSEARRAY</t>
  </si>
  <si>
    <t xml:space="preserve">=array _1_for_up_down_2_for_left_right  "N_REVERSEARRAY" 
      ROWS(array) 
      COLUMNS(array) _1_for_up_down_2_for_left_right array r c 
            _1_for_up_down_2_for_left_right = 1 
            INDEX(array, ROWS(array) - r + 1, c) array  r array </t>
  </si>
  <si>
    <t>N_REVERSETEXT</t>
  </si>
  <si>
    <t>=LAMBDA(texte, LET(
   \\LambdaName, "N_REVERSETEXT",
   _Step1, N_FLATE(texte),
   _Result, INDEX(_Step1, SEQUENCE(LEN(texte), , LEN(texte), -1)),
   _Result
))</t>
  </si>
  <si>
    <t>N_ROWOFCELLREF</t>
  </si>
  <si>
    <t>=LAMBDA(cell_ref, LET(
   \\LambdaName, "N_ROWOFCELLADD",
   MAP(cell_ref, LAMBDA(a, --REGEXEXTRACT(a, "\d+")))
))</t>
  </si>
  <si>
    <t>N_SEARCHVALINMAP</t>
  </si>
  <si>
    <t>=LAMBDA(map,values_to_search, LET(
   \\LambdaName, "N_SEARCHVALINMAP",
   _Ref, TOCOL(ADDRESS(ROW(map), COLUMN(map), 4)),
   _Values, TOCOL(map),
   _Result, FILTER(_Ref, _Values = values_to_search, "N/A"),
   _Result
))</t>
  </si>
  <si>
    <t>N_SHIFTWORD</t>
  </si>
  <si>
    <t xml:space="preserve">=shift word  "N_SHIFTWORD" 
      shift 
      word s w  MID(w, SEQUENCE(LEN(w)), 1)  UNICODE(_Step1)  XLOOKUP(_Step2, {65;97}, {65;97}, , -1)  MOD(_Step2 - _Step3 + s, 26) + _Step3 
            EXACT(LOWER(_Step1), UPPER(_Step1)) 
            _Step1 </t>
  </si>
  <si>
    <t>N_SUBSTITUTEARRAY</t>
  </si>
  <si>
    <t xml:space="preserve">=Start From To  "N_SUBSTITUTEARRAY" 
   MAP(
      Start,
      LAMBDA(a,
         REDUCE(
            a,
            SEQUENCE(ROWS(TOCOL(From))),
            LAMBDA(b,c, SUBSTITUTE(b, INDEX(From, c), INDEX(To, c)))
         )
      )
   ) </t>
  </si>
  <si>
    <t>N_TEXTBETWEEN</t>
  </si>
  <si>
    <t xml:space="preserve">=text starting_char ending_char [extreme] 
   \\LambdaName  "N_TEXTBETWEEN"  REGEXEXTRACT(text, starting_char &amp; ".*" &amp; ending_char, 1)  REGEXEXTRACT(text, starting_char &amp; ".*?" &amp; ending_char, 1)  IF(extreme = 1, withgreed, withoutgreed) 
   out </t>
  </si>
  <si>
    <t>N_TEXTEXTRACT</t>
  </si>
  <si>
    <t>=LAMBDA(extract_from,texts_to_extract, LET(
   \\LambdaName, "N_TEXTEXTRACT",
   ARRAYSOFARRAYS(
      extract_from,
      LAMBDA(x, REGEXEXTRACT(x, TEXTJOIN("|", , texts_to_extract), 1))
   )
))</t>
  </si>
  <si>
    <t>N_TILE</t>
  </si>
  <si>
    <t xml:space="preserve">=params function  "N_TILE"  function(INDEX(params, 1, 1))  LAMBDA(stack,param, VSTACK(stack, function(param)))  IF(
      ROWS(params) = 1,
      firstrow,
      REDUCE(firstrow, DROP(TAKE(params, , 1), 1), stacker)
   ) 
      COLUMNS(params) = 1 
      </t>
  </si>
  <si>
    <t>N_TLOOKUP</t>
  </si>
  <si>
    <t xml:space="preserve">=Target_Row Target_Col Data [If_not_Found]  "N_TLOOKUP"  DROP(Data, 1, 1)  DROP(TAKE(Data, , 1), 1)  DROP(TAKE(Data, 1), , 1) 
      INDEX(_Data, XMATCH(Target_Row, _Rw), XMATCH(Target_Col, _Cl)) 
      IF(ISOMITTED(If_not_Found), "n/a", If_not_Found) </t>
  </si>
  <si>
    <t>N_UNPIVOTPROMAX</t>
  </si>
  <si>
    <t>=Data [from] [to]  "N_UNPIVOTPROMAX"  IF(ISOMITTED(from), 2, from)  IF(ISOMITTED(to), COLUMNS(Data), to)  ROWS(Data) - 1  _Rto - _Rfrom + 1  TOCOL(TAKE(DROP(Data, 1, _Rfrom - 1), , _Rto - _Rfrom + 1))  ROUNDUP(SEQUENCE(_Length * _Rows) / _Length, 0) Data</t>
  </si>
  <si>
    <t>N_XSCAN</t>
  </si>
  <si>
    <t xml:space="preserve">=initial_value input_array calculation_lambda  "N_XSCAN"  ROWS(input_array) &gt; COLUMNS(input_array)  MAX(ROWS(input_array), COLUMNS(input_array))  SEQUENCE(array_size) 
      initial_value 
      indices array_size is_column input_array initial_value </t>
  </si>
  <si>
    <t>NetworkGraph</t>
  </si>
  <si>
    <t xml:space="preserve">=Starts OrigninDestinationTable [Weights] [Function] [Targets] [BiDirectional] [StartWeights] [MaximiseW] [StepLimit] [ShowRoute] TAKE(OrigninDestinationTable,,1) TAKE(OrigninDestinationTable,,-1) IF(BiDirectional,VSTACK(ori,des),ori) BiDirectional des </t>
  </si>
  <si>
    <t>PerCom</t>
  </si>
  <si>
    <t xml:space="preserve">=n c [P0C1] [rep] [cum] UNICHAR(SEQUENCE(,n,20001)) SEQUENCE(,c) REDUCE("",t,LAMBDA(x,w,LET(b,IF(cum,FILTER(x,LEN(x)=w-1),x), d,TOCOL(IFS(IF(P0C1,IF(rep,RIGHT(b)&lt;=s,RIGHT(b)&lt;s),IF(rep,1,ISERR(FIND(s,b)))),b&amp;s),3),IF(cum,VSTACK(x,d),d)))) MID(re,t,1) </t>
  </si>
  <si>
    <t>PokerHand</t>
  </si>
  <si>
    <t xml:space="preserve">=pokercards TOCOL(pokercards,3) LEFT(cards) RIGHT(cards) ROWS(UNIQUE(cardsuits)) ROWS(UNIQUE(cardnums)) XLOOKUP(cards,CHOOSECOLS(CardDetails(),1),CHOOSECOLS(CardDetails(),4)) AND(Suitspresent=1,AND(LEFT(cardvals)="1")) ArrayShift SORT(cardvals) </t>
  </si>
  <si>
    <t>Prev</t>
  </si>
  <si>
    <t xml:space="preserve">=arr [n] [fill] [Next] Next LET(_n,MAX(1,n),_fill,IF(ISOMITTED(fill),"X",fill),IF(ROWS(arr)=1,HSTACK(DROP(arr,,_n),IF(SEQUENCE(,_n),_fill)),VSTACK(DROP(arr,_n),IF(SEQUENCE(_n,COLUMNS(arr)),_fill)))) MAX(1,n) IF(ISOMITTED(fill),"X",fill) ROWS(arr)=1  _n </t>
  </si>
  <si>
    <t>Primes</t>
  </si>
  <si>
    <t>=[First] {2;3;5;7;11;13;17;19;23;29;31;37;41;43;47;53;59;61;67;71;73;79;83;89;97;101;103;107;109;113;127;131;137;139;149;151;157;163;167;173;179;181;191;193;197;199;211;223;227;229;233;239;241;251;257;263;269;271;277;281;283;293;307;</t>
  </si>
  <si>
    <t>PriorityMovement</t>
  </si>
  <si>
    <t xml:space="preserve">=mp st prioarrows blockers steps [allow_loops] COLUMN(mp) ROW(mp) 10^6 TOCOL(rn*M+cn) RC_Ref_Convert(prioarrows) HSTACK(RowNum(st)*M+ColNum(st),Ad_To_Contents(st,mp)) SEQUENCE(steps) p rcn allow_loops mp blockers a v TAKE(a,-1,1)+p XMATCH(cnd,rcn) </t>
  </si>
  <si>
    <t>PXTOIN</t>
  </si>
  <si>
    <t>=LAMBDA(px, LET(\\LambdaName, "PXTOIN", px / 96))</t>
  </si>
  <si>
    <t>RC_Ref_Convert</t>
  </si>
  <si>
    <t>=LAMBDA(St,IFERROR(IF(ISNUMBER(St),ADDRESS(INT(St/10^6),MOD(St,10^6),4),RowNum(St)*10^6+ColNum(St)),XLOOKUP(St,{"↓";"↑";"→";"←";"↘";"↖";"↙";"↗"},{1000000;-1000000;1;-1;1000001;-1000001;999999;-999999})))</t>
  </si>
  <si>
    <t>Regions</t>
  </si>
  <si>
    <t xml:space="preserve">=mp [No_Diag] [AllowMp] [Cus_Dir] {-1000000,-1,1,1000000,-1000001,-999999,999999,1000001} IF(ISOMITTED(Cus_Dir),TAKE(dir,,8-4*No_Diag),TOROW(Cus_Dir,3)) IF(ISERR(@LET(rng,mp,ROW(rng))),1,0) IF(nv,SEQUENCE(ROWS(mp)),ROW(mp)) nv SEQUENCE(,COLUMNS(mp)) mp </t>
  </si>
  <si>
    <t>RemoveCharacters</t>
  </si>
  <si>
    <t>=LAMBDA(TextToRemove,Text,[CaseSensitive],IF(ISOMITTED(CaseSensitive),REDUCE(LOWER(Text),LOWER(SplitText(TextToRemove)),LAMBDA(i,a,SUBSTITUTE(i,a,""))),REDUCE(Text,SplitText(TextToRemove),LAMBDA(i,a,SUBSTITUTE(i,a,"")))))</t>
  </si>
  <si>
    <t>Reverse</t>
  </si>
  <si>
    <t>=LAMBDA(TextOrArray,IF(COUNTA(TextOrArray)=1,CONCAT(MID(TextOrArray,SEQUENCE(LEN(TextOrArray),,LEN(TextOrArray),-1),1)),INDEX(TextOrArray,SEQUENCE(ROWS(TextOrArray),,ROWS(TextOrArray),-1),SEQUENCE(,COLUMNS(TextOrArray),COLUMNS(TextOrArray),-1))))</t>
  </si>
  <si>
    <t>RGB</t>
  </si>
  <si>
    <t>=LAMBDA(Cells,[R],[G],[B],LET(rr,MOD(Cells,265),gg,MOD(INT(Cells/256),256),bb,INT(Cells/(256*256)),IF(R,rr,IF(G,gg,IF(B,bb,HSTACK(rr,gg,bb))))))</t>
  </si>
  <si>
    <t>RowNum</t>
  </si>
  <si>
    <t>=LAMBDA(addresses,IF(ISNUMBER(addresses),INT(addresses/10^6),1*TEXTAFTER(UPPER(addresses),Alphabet(),-1)))</t>
  </si>
  <si>
    <t>ShiftText</t>
  </si>
  <si>
    <t>=Text Shift [AlongShift] [AlongLettersOnly] [NoWrapAround] SplitText(Text) IF(AlongShift,AlongShift,0) EXACT(LOWER(l),UPPER(l)) EXACT(UPPER(l),l) IF(AlongLettersOnly,SCAN(-als,sym,LAMBDA(a,v,IF(v,a,a+als))),SEQUENCE(LEN(Text),,0,als)) CODE(l)-65+Shift al</t>
  </si>
  <si>
    <t>Spiral</t>
  </si>
  <si>
    <t xml:space="preserve">=grid [downward] downward sp a ROWS(a) COLUMNS(a) SEQUENCE(r) SEQUENCE(,c) r=1 j c=1 i IF(downward,HSTACK,VSTACK) IF(downward,i,j) IF(downward,r,c) sp sp TRANSPOSE(DROP(a,IF(downward,,1),IF(downward,1))) -SEQUENCE(IF(downward,c-1,),IF(downward,,r-1)) </t>
  </si>
  <si>
    <t>SplitText</t>
  </si>
  <si>
    <t>=LAMBDA(Text,[Groups],[Overlap],LET(t,CONCAT(Text), _groups,MAX(Groups,1), IF(Overlap,MID(t,SEQUENCE(LEN(t)-_groups+1),_groups),MID(t,SEQUENCE(ROUNDUP(LEN(t)/_groups,0),,,_groups),_groups))))</t>
  </si>
  <si>
    <t>Timer</t>
  </si>
  <si>
    <t>=LET(st,NOW(),LAMBDA(x,(NOW()-st)*86400))</t>
  </si>
  <si>
    <t>TLookup</t>
  </si>
  <si>
    <t>=LAMBDA(Table,Rowitem,Columnitem,INDEX(Table,XMATCH(Rowitem,TAKE(Table,,1)),XMATCH(Columnitem,TAKE(Table,1))))</t>
  </si>
  <si>
    <t>Unpivot</t>
  </si>
  <si>
    <t>=LAMBDA(KeepColumns,UnpivotColumns,[KeepBlanks],LET(nr,COLUMNS(UnpivotColumns),tb,HSTACK(VStacks(KeepColumns,nr),TOCOL(UnpivotColumns,,1)),IF(KeepBlanks,tb,FILTER(tb,TAKE(tb,,-1)&lt;&gt;""))))</t>
  </si>
  <si>
    <t>VStacks</t>
  </si>
  <si>
    <t>=LAMBDA(Array,NoTimes,[Hstk],IFERROR(REDUCE(Array,SEQUENCE(NoTimes-1),LAMBDA(a,v,IF(Hstk,HSTACK,VSTACK)(a,Array))),Array))</t>
  </si>
  <si>
    <t>WordMaker</t>
  </si>
  <si>
    <t>=LAMBDA(Word_to_Make,Tiles,[Case_Sensitive],MAP(Word_to_Make,LAMBDA(wl,LET(t,IF(Case_Sensitive,Tiles,UPPER(Tiles)),w,IF(Case_Sensitive,SplitText(wl),SplitText(UPPER(wl))), lg,LEN(t)-LEN(REDUCE(t,w,LAMBDA(a,v,SUBSTITUTE(a,v,"",1)))), LEN(wl)=lg))))</t>
  </si>
  <si>
    <t>WordValue</t>
  </si>
  <si>
    <t xml:space="preserve">=Text Letters Values [Case_Sensitive] [Join] [Delimiter] Text Delimiter Join Case_Sensitive Letters Values b IF(ISOMITTED(Delimiter),"-",Delimiter) IF(ISOMITTED(Join),0,"") SplitText(b) ISOMITTED(Case_Sensitive) XLOOKUP(l,Letters,Values,m) l Letters </t>
  </si>
  <si>
    <t>Name</t>
  </si>
  <si>
    <t>Lambda</t>
  </si>
  <si>
    <t>rws</t>
  </si>
  <si>
    <t>cls</t>
  </si>
  <si>
    <t>mxrc</t>
  </si>
  <si>
    <t>seq</t>
  </si>
  <si>
    <t>add</t>
  </si>
  <si>
    <t>val</t>
  </si>
  <si>
    <t>minr</t>
  </si>
  <si>
    <t>maxr</t>
  </si>
  <si>
    <t>minc</t>
  </si>
  <si>
    <t>maxc</t>
  </si>
  <si>
    <t>d</t>
  </si>
  <si>
    <t>rd</t>
  </si>
  <si>
    <t>cd</t>
  </si>
  <si>
    <t>rsvald</t>
  </si>
  <si>
    <t>rsaddd</t>
  </si>
  <si>
    <t>ru</t>
  </si>
  <si>
    <t>cu</t>
  </si>
  <si>
    <t>u</t>
  </si>
  <si>
    <t>rsvalu</t>
  </si>
  <si>
    <t>rsaddu</t>
  </si>
  <si>
    <t>locd</t>
  </si>
  <si>
    <t>locu</t>
  </si>
  <si>
    <t>loc?</t>
  </si>
  <si>
    <t>val?</t>
  </si>
  <si>
    <t>add?</t>
  </si>
  <si>
    <t>array</t>
  </si>
  <si>
    <t>Lz_Diagonals</t>
  </si>
  <si>
    <t xml:space="preserve">=array [add?] [val?] [loc?]  "Lz_Diagonals"  ROWS(array)  COLUMNS(array)  IF(ISOMITTED(add?), 1, add?)  IF(ISOMITTED(val?), 0, val?)  IF(ISOMITTED(loc?), 0, loc?)  TOCOL(AddressOfCells(array))  TOCOL(array)  MAX(VSTACK(_Rws, _Cls))  _Rws + _Cls - 1 </t>
  </si>
  <si>
    <t>Lz_Median</t>
  </si>
  <si>
    <t>=LAMBDA(array,max,[min], LET(
   \\LambdaName, "lz_median",
   _min, IF(ISOMITTED(min), 1, min),
   _Result, MAP(array, LAMBDA(a, MEDIAN(_min, a, max))),
   _Result
))</t>
  </si>
  <si>
    <t>King</t>
  </si>
  <si>
    <t>Chess Piece Movement Rules</t>
  </si>
  <si>
    <t>♔</t>
  </si>
  <si>
    <t>map</t>
  </si>
  <si>
    <t>Queen</t>
  </si>
  <si>
    <t>♕</t>
  </si>
  <si>
    <t>Start</t>
  </si>
  <si>
    <t>V13</t>
  </si>
  <si>
    <t>dist</t>
  </si>
  <si>
    <t>r</t>
  </si>
  <si>
    <t>c</t>
  </si>
  <si>
    <t>piece</t>
  </si>
  <si>
    <t>dist?</t>
  </si>
  <si>
    <t>view</t>
  </si>
  <si>
    <t>♛</t>
  </si>
  <si>
    <t>A KING captures all opponent's pieces within 1 cell</t>
  </si>
  <si>
    <t>A QUEEN captures ALL opponent's pieces horizontally, vertically and diagonally - up until the edge of the board!</t>
  </si>
  <si>
    <t>Dist</t>
  </si>
  <si>
    <t>Rook</t>
  </si>
  <si>
    <t>rsaddv</t>
  </si>
  <si>
    <t>edist</t>
  </si>
  <si>
    <t>eadd</t>
  </si>
  <si>
    <t>eval</t>
  </si>
  <si>
    <t>fdist</t>
  </si>
  <si>
    <t>fadd</t>
  </si>
  <si>
    <t>fval</t>
  </si>
  <si>
    <t>ROOK</t>
  </si>
  <si>
    <t>♖</t>
  </si>
  <si>
    <t>BISHOP</t>
  </si>
  <si>
    <t>♗</t>
  </si>
  <si>
    <t>A ROOK captures ALL opponent's pieces horizontally and vertically - up until the edge of the board!</t>
  </si>
  <si>
    <t>A BISHOP captures ALL opponent's pieces diagonally - up until the edge of the board!</t>
  </si>
  <si>
    <t>Bishop</t>
  </si>
  <si>
    <t>rsvalv</t>
  </si>
  <si>
    <t>Knight</t>
  </si>
  <si>
    <t>♘</t>
  </si>
  <si>
    <t>Pawn</t>
  </si>
  <si>
    <t>♙</t>
  </si>
  <si>
    <t>White</t>
  </si>
  <si>
    <t>♟</t>
  </si>
  <si>
    <t>Black</t>
  </si>
  <si>
    <t>A KNIGHT captures ALL opponent's pieces within 8 locations 2+1 cells away.</t>
  </si>
  <si>
    <t>A WHITE PAWN captures ALL opponent's pieces within 1 cell diagonally on it's way up the board.</t>
  </si>
  <si>
    <t>A BLACK PAWN captures ALL opponent's pieces within 1 cell diagonally on it's way up the board.</t>
  </si>
  <si>
    <t>type</t>
  </si>
  <si>
    <t>Paw White</t>
  </si>
  <si>
    <t>Paw Black</t>
  </si>
  <si>
    <t>Result</t>
  </si>
  <si>
    <t xml:space="preserve"> </t>
  </si>
  <si>
    <t>♝</t>
  </si>
  <si>
    <t>♞</t>
  </si>
  <si>
    <t>♜</t>
  </si>
  <si>
    <t>♚</t>
  </si>
  <si>
    <t>O19</t>
  </si>
  <si>
    <t xml:space="preserve">=array dir keep_ol_vals? fold? fill_with  array  ROWS(_Ar)  COLUMNS(_Ar) 
      ISNUMBER(SEARCH(dir, "↖↘")) 
      SEQUENCE(, _Rw, _Rw, -1) 
         ISNUMBER(SEARCH(dir, "↙↗")) 
         SEQUENCE(, _Rw) 
            ISNUMBER(SEARCH(dir, "↑↓")) _Rw    </t>
  </si>
  <si>
    <t xml:space="preserve">=Start [Radius] [_Square1Losange2Cercle3Cross4Plus5] [ShowDist] [WithCenter] [mp] [view]  "Lz_Adjacent"  RowNum(Start)  ColNum(Start)  IF(ISOMITTED(Radius), 1, Radius)  IF(ISOMITTED(view), 0, view) ISOMITTED(_Square1Losange2Cercle3Cross4Plus5)  1  </t>
  </si>
  <si>
    <t>Lz_Chess</t>
  </si>
  <si>
    <t>Lz_FlattenWithRC</t>
  </si>
  <si>
    <t>=LAMBDA(map, LET(
   \\LambdaName, "Lz_FlattenWithRC",
   _rw, DROP(TAKE(map, , 1), 1),
   _cl, DROP(TAKE(map, 1, ), , 1),
   _val, TOCOL(DROP(map, 1, 1)),
   _add, TOCOL(_cl &amp; _rw),
   _Result, HSTACK(_add, _val),
   _Result
))</t>
  </si>
  <si>
    <t>=LAMBDA(from,to,[row], LET(    \\LambdaName, "Lz_SeqenceFromTo",    IF(       IF(ISOMITTED(row), 0, 1),       SEQUENCE(, ABS(from - to) + 1, from, SIGN(to - from)),       SEQUENCE(ABS(from - to) + 1, , from, SIGN(to - from))    ) ))</t>
  </si>
  <si>
    <t>AO10</t>
  </si>
  <si>
    <t>32164131968496513468434984354687</t>
  </si>
  <si>
    <t>7984313876531354651354</t>
  </si>
  <si>
    <t>1000</t>
  </si>
  <si>
    <t>=LAMBDA(array, MAP(array, LAMBDA(a, ADDRESS(ROW(a), COLUMN(a), 4))))</t>
  </si>
  <si>
    <t>=LAMBDA(array,function,IF(COLUMNS(array)=1,IF(ROWS(array)=1,function(@array),function(array)),HSTACK(BiCol(TAKE(array,,COLUMNS(array)/2),function),BiCol(DROP(array,,COLUMNS(array)/2),function))))</t>
  </si>
  <si>
    <t>=LAMBDA(array,function,IF(ROWS(array)=1,IF(COLUMNS(array)=1,function(@array),function(array)),VSTACK(BiRow(TAKE(array,ROWS(array)/2),function),BiRow(DROP(array,ROWS(array)/2),function))))</t>
  </si>
  <si>
    <t xml:space="preserve">=mp blockers [Fill] [No_Diag] [Cus_Dir]  ROW(mp)  COLUMN(mp)  10 ^ 6  rn * m + cn  {-1000000,-1,1,1000000,-1000001,-999999,999999,1000001}  IF(ISOMITTED(Cus_Dir), TAKE(dir, , 8 - 4 * No_Diag), TOROW(Cus_Dir, 3)) XMATCH(mp, TAKE(blockers, , 1))  rcn  "" </t>
  </si>
  <si>
    <t>Brow</t>
  </si>
  <si>
    <t xml:space="preserve">=ar fn pk  "Brow" fn pk r v  ROWS(v) 
         n = 1 
         fn(IF(COLUMNS(v) = 1, @v, IF(pk, idex(v), v)))  r(r, TAKE(v, n / 2))  r(r, DROP(v, n / 2))  VSTACK(IF(ISERROR(up), "", up), IF(ISERROR(do), "", do)) 
            IF(ISERROR(ud), "", ud) </t>
  </si>
  <si>
    <t xml:space="preserve">=[StartQ] [EndQ]  TRIMRANGE(
      FILTER(INDIRECT("Case!$B:$EE"), ISNUMBER(INDIRECT("Case!$B:$B")))
   )  IF(questions = 0, NA(), questions) 
      ISOMITTED(StartQ) 
      rs 
         questions 
         (CHOOSECOLS(rs, 2) &gt;= StartQ) rs  2 </t>
  </si>
  <si>
    <t xml:space="preserve">=Array c [RemoveOrder] [AllowRepeatItems] [Cumulative] PerCom(COUNTA(Array),c,IF(RemoveOrder=1,1),IF(AllowRepeatItems=1,1),IF(Cumulative=1,1)) TAKE(HSTACK(SEQUENCE(COUNTA(Array)),TOCOL(Array)),,1) HSTACK(SEQUENCE(COUNTA(Array)),TOCOL(Array))  </t>
  </si>
  <si>
    <t>=LAMBDA(Item,List,[SearchMode],
   ISNUMBER(IF(SearchMode, SEARCH, XMATCH)(Item, List))
)</t>
  </si>
  <si>
    <t>Ha_Num2Word</t>
  </si>
  <si>
    <t>=number [ignore_decimals] [simple_version] [no_and]  "Ha_Num2Word"  {"zero";"one";"two";"three";"four";"five";"six";"seven";"eight";"nine"}  IF(LEFT(number) = "-", "minus ", "")  {"ten";"eleven";"twelve";"thirteen";"fourteen";"fifteen";"sixteen";"sevente</t>
  </si>
  <si>
    <t>Hd_Snake</t>
  </si>
  <si>
    <t xml:space="preserve">=Array [ByCol] [StartRorC] [SwapEvery] [AddressMoves]  "Hd_Snake"  Array  ROWS(a)  COLUMNS(a)  IF(StartRorC, StartRorC, IF(SwapEvery, SwapEvery, 2))  IF(SwapEvery, SwapEvery, MAX(st, 2)) ByCol c st sw a r x 
         ByCol MOD(SEQUENCE(, c) - st, sw) </t>
  </si>
  <si>
    <t xml:space="preserve">=map start piece [add?] [dist?] [val?] [view]  "Lz_Chess"  RowNum(start)  ColNum(start)  AddressOfCells(map)  map  IF(ISOMITTED(add?), 0, add?)  IF(ISOMITTED(dist?), 0, dist?)  IF(ISOMITTED(val?), 0, val?)  IF(ISOMITTED(view), 0, view) RowNum(_Step3) </t>
  </si>
  <si>
    <t>Lz_LargeCalc</t>
  </si>
  <si>
    <t xml:space="preserve">=Numbers_onlytwo_FplusS_FminS_Fdiv [Operation_1Summation_2Subtraction_3Multiplication_4Division] [Divider]  "Lz_LargeCalc"  Operation_1Summation_2Subtraction_3Multiplication_4Division  Numbers_onlytwo_FplusS_FminS_Fdiv ISOMITTED(OPP)  1 (OPP &gt; 4) OPP </t>
  </si>
  <si>
    <t>Lz_LargeMult</t>
  </si>
  <si>
    <t xml:space="preserve">=x y  "Lz_LargeMult"  CEILING.MATH(MAX(LEN(x), LEN(y)), 6)  SEQUENCE(l / 6, , , 6)  MID(RIGHT(REPT(0, l) &amp; HSTACK(x, y), l), s, 6) 
      TOCOL((l - 5) * 2 - s - TOROW(s)) 
      TOCOL(TAKE(m, , 1) * TOROW(DROP(m, , 1))) 
      SUM 
      0 </t>
  </si>
  <si>
    <t>Lz_LargePlus</t>
  </si>
  <si>
    <t xml:space="preserve">=num [subtrack]  "Lz_LargePlus"  "LP"  TOROW(num, 3)  SEQUENCE(CEILING(MAX(LEN(n)), 9) / 9) * 9  REPT(0, 9) 
               0 
               d r n subtrack a i LEFT(RIGHT(r &amp; n, i), 9) * IF(subtrack, {1,-1}, 1)  INT(a / 10 ^ 9) </t>
  </si>
  <si>
    <t>Lz_LargePower</t>
  </si>
  <si>
    <t>=LAMBDA(num,exp, LET(
   \\LambdaName, "Lz_LargePower",
   IF(
      exp &lt;= 1,
      num,
      REDUCE(num, SEQUENCE(exp - 1), LAMBDA(ac,v, Lz_LargeMult(ac, num)))
   )
))</t>
  </si>
  <si>
    <t>Lz_Sequence</t>
  </si>
  <si>
    <t xml:space="preserve">=start stop [step] [repeat_element] [repeat_array]  "Lz_Sequence"  start  stop  IF(ISOMITTED(step), IF(t &gt;= s, 1, -1), step)  IF(ISOMITTED(repeat_element), 1, repeat_element)  IF(ISOMITTED(repeat_array), 1, repeat_array)  t - s d = 0  SIGN(stp) d </t>
  </si>
  <si>
    <t>Lz_SequenceFromTo</t>
  </si>
  <si>
    <t>MapBlocker</t>
  </si>
  <si>
    <t>=mp blocker Hv0Di1Dx2Hex3Knight4opp mpT  "MapBlocker"  Hv0Di1Dx2Hex3Knight4opp  10 ^ 6  COUNT(od) 
      cd = 1 
      IF(
         od = 3,
         HSTACK(DROP(Drc, , 4), 2, -2),
         IF(od = 4, KnightRC, TAKE(Drc, , IF(od, 8, 4)))
      ) 
      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</si>
</sst>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8"/>
      <color theme="0"/>
      <name val="ROBOTECH GP"/>
      <family val="2"/>
    </font>
    <font>
      <sz val="11"/>
      <color theme="1"/>
      <name val="Roboto"/>
    </font>
    <font>
      <b/>
      <sz val="11"/>
      <color theme="1"/>
      <name val="Roboto"/>
    </font>
    <font>
      <b/>
      <sz val="18"/>
      <color theme="1"/>
      <name val="Roboto"/>
    </font>
    <font>
      <sz val="11"/>
      <color rgb="FF0000FF"/>
      <name val="Roboto"/>
    </font>
    <font>
      <b/>
      <sz val="11"/>
      <color rgb="FF0000FF"/>
      <name val="Roboto"/>
    </font>
    <font>
      <sz val="11"/>
      <color theme="0"/>
      <name val="Roboto"/>
    </font>
    <font>
      <sz val="20"/>
      <color rgb="FF0000FF"/>
      <name val="Aptos Narrow"/>
      <family val="2"/>
      <scheme val="minor"/>
    </font>
    <font>
      <sz val="22"/>
      <color theme="7" tint="-0.499984740745262"/>
      <name val="Roboto"/>
    </font>
    <font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i/>
      <sz val="11"/>
      <color rgb="FFFF0000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  <font>
      <b/>
      <sz val="11"/>
      <color theme="8" tint="0.39997558519241921"/>
      <name val="Aptos Narrow"/>
      <family val="2"/>
      <scheme val="minor"/>
    </font>
    <font>
      <sz val="11"/>
      <color theme="1"/>
      <name val="Times New Roman"/>
      <family val="1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gradientFill>
        <stop position="0">
          <color rgb="FF007B00"/>
        </stop>
        <stop position="1">
          <color rgb="FF020024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1">
    <xf numFmtId="0" fontId="0" fillId="0" borderId="0" xfId="0"/>
    <xf numFmtId="0" fontId="1" fillId="0" borderId="0" xfId="1"/>
    <xf numFmtId="0" fontId="2" fillId="2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6" borderId="0" xfId="0" applyFill="1"/>
    <xf numFmtId="0" fontId="0" fillId="0" borderId="0" xfId="0" quotePrefix="1"/>
    <xf numFmtId="0" fontId="3" fillId="0" borderId="0" xfId="0" applyFont="1"/>
    <xf numFmtId="0" fontId="16" fillId="0" borderId="0" xfId="0" applyFont="1"/>
    <xf numFmtId="0" fontId="17" fillId="0" borderId="0" xfId="0" applyFont="1"/>
    <xf numFmtId="0" fontId="16" fillId="6" borderId="0" xfId="0" applyFont="1" applyFill="1"/>
    <xf numFmtId="0" fontId="0" fillId="8" borderId="0" xfId="0" applyFill="1"/>
    <xf numFmtId="0" fontId="15" fillId="0" borderId="0" xfId="0" applyFont="1"/>
    <xf numFmtId="0" fontId="18" fillId="0" borderId="0" xfId="0" applyFont="1"/>
    <xf numFmtId="0" fontId="19" fillId="0" borderId="0" xfId="0" applyFont="1"/>
    <xf numFmtId="0" fontId="18" fillId="6" borderId="0" xfId="0" applyFont="1" applyFill="1"/>
    <xf numFmtId="0" fontId="20" fillId="0" borderId="0" xfId="0" applyFont="1"/>
    <xf numFmtId="0" fontId="21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0" borderId="4" xfId="0" applyBorder="1"/>
    <xf numFmtId="0" fontId="0" fillId="6" borderId="5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6" fillId="0" borderId="0" xfId="0" applyFont="1" applyAlignment="1">
      <alignment horizontal="left" vertical="top" wrapText="1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1" fillId="0" borderId="0" xfId="1" applyFill="1"/>
  </cellXfs>
  <cellStyles count="2">
    <cellStyle name="Normal" xfId="0" builtinId="0"/>
    <cellStyle name="Normal 2" xfId="1" xr:uid="{6C0C3FA5-8B45-4979-BDE4-4B24EAA0A7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17/06/relationships/rdSupportingPropertyBagStructure" Target="richData/rdsupportingpropertybagstructure.xml"/><Relationship Id="rId20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fb t="s">32164131976480827344966339006041</fb>
    <v>&lt;class 'str'&gt;</v>
    <v>str</v>
    <v>32164131976480827344966339006041</v>
    <v>32164131976480827344966339006041</v>
    <v>0</v>
  </rv>
  <rv s="0">
    <fb t="s">3.2164131968496514e+28</fb>
    <v>&lt;class 'str'&gt;</v>
    <v>str</v>
    <v>3.2164131968496514e+28</v>
    <v>3.2164131968496514e+28</v>
    <v>0</v>
  </rv>
  <rv s="1">
    <v>13</v>
    <v>24</v>
  </rv>
</rvData>
</file>

<file path=xl/richData/rdrichvaluestructure.xml><?xml version="1.0" encoding="utf-8"?>
<rvStructures xmlns="http://schemas.microsoft.com/office/spreadsheetml/2017/richdata" count="2">
  <s t="_python">
    <k n="Python_type" t="s"/>
    <k n="Python_typeName" t="s"/>
    <k n="Python_str" t="s"/>
    <k n="basicValue" t="s"/>
    <k n="_Provider" t="spb"/>
  </s>
  <s t="_error">
    <k n="errorType" t="i"/>
    <k n="subType" t="i"/>
  </s>
</rvStructures>
</file>

<file path=xl/richData/rdsupportingpropertybag.xml><?xml version="1.0" encoding="utf-8"?>
<supportingPropertyBags xmlns="http://schemas.microsoft.com/office/spreadsheetml/2017/richdata2">
  <spbData count="1">
    <spb s="0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1">
  <s>
    <k n="link" t="s"/>
    <k n="logo" t="s"/>
    <k n="name" t="s"/>
  </s>
</spb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6D8A7-DCD4-42DC-AB3C-E17870807563}" name="List" displayName="List" ref="B13:C130" totalsRowShown="0" headerRowCellStyle="Normal 2" dataCellStyle="Normal 2">
  <autoFilter ref="B13:C130" xr:uid="{43F6D8A7-DCD4-42DC-AB3C-E17870807563}"/>
  <tableColumns count="2">
    <tableColumn id="1" xr3:uid="{EB44A1C1-6592-415B-900E-28C498F5A11B}" name="Name" dataCellStyle="Normal 2"/>
    <tableColumn id="2" xr3:uid="{5F485974-679A-440C-817B-2D1E19274057}" name="Lambda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40039E-135A-4B0F-BF99-DB53CB36203A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6C3D-CA29-404F-B0D4-7C9B625BA856}">
  <sheetPr codeName="Sheet7"/>
  <dimension ref="B13:C130"/>
  <sheetViews>
    <sheetView workbookViewId="0">
      <selection activeCell="B14" sqref="B14"/>
    </sheetView>
  </sheetViews>
  <sheetFormatPr defaultColWidth="9.140625" defaultRowHeight="15"/>
  <cols>
    <col min="1" max="1" width="9.140625" style="1"/>
    <col min="2" max="2" width="30.7109375" style="1" customWidth="1"/>
    <col min="3" max="3" width="37.5703125" style="1" customWidth="1"/>
    <col min="4" max="16384" width="9.140625" style="1"/>
  </cols>
  <sheetData>
    <row r="13" spans="2:3">
      <c r="B13" s="1" t="s">
        <v>197</v>
      </c>
      <c r="C13" s="1" t="s">
        <v>198</v>
      </c>
    </row>
    <row r="14" spans="2:3">
      <c r="B14" s="1" t="s">
        <v>0</v>
      </c>
      <c r="C14" s="1" t="s">
        <v>1</v>
      </c>
    </row>
    <row r="15" spans="2:3">
      <c r="B15" s="1" t="s">
        <v>2</v>
      </c>
      <c r="C15" s="1" t="s">
        <v>3</v>
      </c>
    </row>
    <row r="16" spans="2:3">
      <c r="B16" s="60" t="s">
        <v>4</v>
      </c>
      <c r="C16" s="60" t="s">
        <v>5</v>
      </c>
    </row>
    <row r="17" spans="2:3">
      <c r="B17" s="60" t="s">
        <v>6</v>
      </c>
      <c r="C17" s="60" t="s">
        <v>7</v>
      </c>
    </row>
    <row r="18" spans="2:3">
      <c r="B18" s="60" t="s">
        <v>8</v>
      </c>
      <c r="C18" s="60" t="s">
        <v>293</v>
      </c>
    </row>
    <row r="19" spans="2:3">
      <c r="B19" s="60" t="s">
        <v>9</v>
      </c>
      <c r="C19" s="60" t="s">
        <v>10</v>
      </c>
    </row>
    <row r="20" spans="2:3">
      <c r="B20" s="60" t="s">
        <v>11</v>
      </c>
      <c r="C20" s="60" t="s">
        <v>12</v>
      </c>
    </row>
    <row r="21" spans="2:3">
      <c r="B21" s="60" t="s">
        <v>13</v>
      </c>
      <c r="C21" s="60" t="s">
        <v>14</v>
      </c>
    </row>
    <row r="22" spans="2:3">
      <c r="B22" s="60" t="s">
        <v>15</v>
      </c>
      <c r="C22" s="60" t="s">
        <v>294</v>
      </c>
    </row>
    <row r="23" spans="2:3">
      <c r="B23" s="60" t="s">
        <v>16</v>
      </c>
      <c r="C23" s="60" t="s">
        <v>17</v>
      </c>
    </row>
    <row r="24" spans="2:3">
      <c r="B24" s="60" t="s">
        <v>18</v>
      </c>
      <c r="C24" s="60" t="s">
        <v>295</v>
      </c>
    </row>
    <row r="25" spans="2:3">
      <c r="B25" s="60" t="s">
        <v>19</v>
      </c>
      <c r="C25" s="60" t="s">
        <v>296</v>
      </c>
    </row>
    <row r="26" spans="2:3">
      <c r="B26" s="60" t="s">
        <v>20</v>
      </c>
      <c r="C26" s="60" t="s">
        <v>21</v>
      </c>
    </row>
    <row r="27" spans="2:3">
      <c r="B27" s="60" t="s">
        <v>297</v>
      </c>
      <c r="C27" s="60" t="s">
        <v>298</v>
      </c>
    </row>
    <row r="28" spans="2:3">
      <c r="B28" s="60" t="s">
        <v>22</v>
      </c>
      <c r="C28" s="60" t="s">
        <v>23</v>
      </c>
    </row>
    <row r="29" spans="2:3">
      <c r="B29" s="60" t="s">
        <v>24</v>
      </c>
      <c r="C29" s="60" t="s">
        <v>25</v>
      </c>
    </row>
    <row r="30" spans="2:3">
      <c r="B30" s="60" t="s">
        <v>26</v>
      </c>
      <c r="C30" s="60" t="s">
        <v>299</v>
      </c>
    </row>
    <row r="31" spans="2:3">
      <c r="B31" s="60" t="s">
        <v>27</v>
      </c>
      <c r="C31" s="60" t="s">
        <v>28</v>
      </c>
    </row>
    <row r="32" spans="2:3">
      <c r="B32" s="60" t="s">
        <v>29</v>
      </c>
      <c r="C32" s="60" t="s">
        <v>30</v>
      </c>
    </row>
    <row r="33" spans="2:3">
      <c r="B33" s="60" t="s">
        <v>31</v>
      </c>
      <c r="C33" s="60" t="s">
        <v>32</v>
      </c>
    </row>
    <row r="34" spans="2:3">
      <c r="B34" s="60" t="s">
        <v>33</v>
      </c>
      <c r="C34" s="60" t="s">
        <v>300</v>
      </c>
    </row>
    <row r="35" spans="2:3">
      <c r="B35" s="60" t="s">
        <v>34</v>
      </c>
      <c r="C35" s="60" t="s">
        <v>35</v>
      </c>
    </row>
    <row r="36" spans="2:3">
      <c r="B36" s="60" t="s">
        <v>36</v>
      </c>
      <c r="C36" s="60" t="s">
        <v>37</v>
      </c>
    </row>
    <row r="37" spans="2:3">
      <c r="B37" s="60" t="s">
        <v>38</v>
      </c>
      <c r="C37" s="60" t="s">
        <v>39</v>
      </c>
    </row>
    <row r="38" spans="2:3">
      <c r="B38" s="60" t="s">
        <v>40</v>
      </c>
      <c r="C38" s="60" t="s">
        <v>41</v>
      </c>
    </row>
    <row r="39" spans="2:3">
      <c r="B39" s="60" t="s">
        <v>42</v>
      </c>
      <c r="C39" s="60" t="s">
        <v>43</v>
      </c>
    </row>
    <row r="40" spans="2:3">
      <c r="B40" s="60" t="s">
        <v>44</v>
      </c>
      <c r="C40" s="60" t="s">
        <v>45</v>
      </c>
    </row>
    <row r="41" spans="2:3">
      <c r="B41" s="60" t="s">
        <v>46</v>
      </c>
      <c r="C41" s="60" t="s">
        <v>301</v>
      </c>
    </row>
    <row r="42" spans="2:3">
      <c r="B42" s="60" t="s">
        <v>47</v>
      </c>
      <c r="C42" s="60" t="s">
        <v>48</v>
      </c>
    </row>
    <row r="43" spans="2:3">
      <c r="B43" s="60" t="s">
        <v>49</v>
      </c>
      <c r="C43" s="60" t="s">
        <v>50</v>
      </c>
    </row>
    <row r="44" spans="2:3">
      <c r="B44" s="60" t="s">
        <v>51</v>
      </c>
      <c r="C44" s="60" t="s">
        <v>52</v>
      </c>
    </row>
    <row r="45" spans="2:3">
      <c r="B45" s="60" t="s">
        <v>53</v>
      </c>
      <c r="C45" s="60" t="s">
        <v>283</v>
      </c>
    </row>
    <row r="46" spans="2:3">
      <c r="B46" s="60" t="s">
        <v>302</v>
      </c>
      <c r="C46" s="60" t="s">
        <v>303</v>
      </c>
    </row>
    <row r="47" spans="2:3">
      <c r="B47" s="60" t="s">
        <v>304</v>
      </c>
      <c r="C47" s="60" t="s">
        <v>305</v>
      </c>
    </row>
    <row r="48" spans="2:3">
      <c r="B48" s="60" t="s">
        <v>54</v>
      </c>
      <c r="C48" s="60" t="s">
        <v>55</v>
      </c>
    </row>
    <row r="49" spans="2:3">
      <c r="B49" s="60" t="s">
        <v>56</v>
      </c>
      <c r="C49" s="60" t="s">
        <v>57</v>
      </c>
    </row>
    <row r="50" spans="2:3">
      <c r="B50" s="60" t="s">
        <v>58</v>
      </c>
      <c r="C50" s="60" t="s">
        <v>284</v>
      </c>
    </row>
    <row r="51" spans="2:3">
      <c r="B51" s="60" t="s">
        <v>285</v>
      </c>
      <c r="C51" s="60" t="s">
        <v>306</v>
      </c>
    </row>
    <row r="52" spans="2:3">
      <c r="B52" s="60" t="s">
        <v>225</v>
      </c>
      <c r="C52" s="60" t="s">
        <v>226</v>
      </c>
    </row>
    <row r="53" spans="2:3">
      <c r="B53" s="60" t="s">
        <v>59</v>
      </c>
      <c r="C53" s="60" t="s">
        <v>60</v>
      </c>
    </row>
    <row r="54" spans="2:3">
      <c r="B54" s="60" t="s">
        <v>286</v>
      </c>
      <c r="C54" s="60" t="s">
        <v>287</v>
      </c>
    </row>
    <row r="55" spans="2:3">
      <c r="B55" s="60" t="s">
        <v>307</v>
      </c>
      <c r="C55" s="60" t="s">
        <v>308</v>
      </c>
    </row>
    <row r="56" spans="2:3">
      <c r="B56" s="60" t="s">
        <v>309</v>
      </c>
      <c r="C56" s="60" t="s">
        <v>310</v>
      </c>
    </row>
    <row r="57" spans="2:3">
      <c r="B57" s="60" t="s">
        <v>311</v>
      </c>
      <c r="C57" s="60" t="s">
        <v>312</v>
      </c>
    </row>
    <row r="58" spans="2:3">
      <c r="B58" s="60" t="s">
        <v>313</v>
      </c>
      <c r="C58" s="60" t="s">
        <v>314</v>
      </c>
    </row>
    <row r="59" spans="2:3">
      <c r="B59" s="60" t="s">
        <v>227</v>
      </c>
      <c r="C59" s="60" t="s">
        <v>228</v>
      </c>
    </row>
    <row r="60" spans="2:3">
      <c r="B60" s="60" t="s">
        <v>61</v>
      </c>
      <c r="C60" s="60" t="s">
        <v>62</v>
      </c>
    </row>
    <row r="61" spans="2:3">
      <c r="B61" s="60" t="s">
        <v>315</v>
      </c>
      <c r="C61" s="60" t="s">
        <v>316</v>
      </c>
    </row>
    <row r="62" spans="2:3">
      <c r="B62" s="60" t="s">
        <v>317</v>
      </c>
      <c r="C62" s="60" t="s">
        <v>288</v>
      </c>
    </row>
    <row r="63" spans="2:3">
      <c r="B63" s="60" t="s">
        <v>318</v>
      </c>
      <c r="C63" s="60" t="s">
        <v>319</v>
      </c>
    </row>
    <row r="64" spans="2:3">
      <c r="B64" s="60" t="s">
        <v>63</v>
      </c>
      <c r="C64" s="60" t="s">
        <v>64</v>
      </c>
    </row>
    <row r="65" spans="2:3">
      <c r="B65" s="60" t="s">
        <v>65</v>
      </c>
      <c r="C65" s="60" t="s">
        <v>66</v>
      </c>
    </row>
    <row r="66" spans="2:3">
      <c r="B66" s="60" t="s">
        <v>67</v>
      </c>
      <c r="C66" s="60" t="s">
        <v>68</v>
      </c>
    </row>
    <row r="67" spans="2:3">
      <c r="B67" s="60" t="s">
        <v>69</v>
      </c>
      <c r="C67" s="60" t="s">
        <v>70</v>
      </c>
    </row>
    <row r="68" spans="2:3">
      <c r="B68" s="60" t="s">
        <v>71</v>
      </c>
      <c r="C68" s="60" t="s">
        <v>72</v>
      </c>
    </row>
    <row r="69" spans="2:3">
      <c r="B69" s="60" t="s">
        <v>73</v>
      </c>
      <c r="C69" s="60" t="s">
        <v>74</v>
      </c>
    </row>
    <row r="70" spans="2:3">
      <c r="B70" s="60" t="s">
        <v>75</v>
      </c>
      <c r="C70" s="60" t="s">
        <v>76</v>
      </c>
    </row>
    <row r="71" spans="2:3">
      <c r="B71" s="60" t="s">
        <v>77</v>
      </c>
      <c r="C71" s="60" t="s">
        <v>78</v>
      </c>
    </row>
    <row r="72" spans="2:3">
      <c r="B72" s="60" t="s">
        <v>79</v>
      </c>
      <c r="C72" s="60" t="s">
        <v>80</v>
      </c>
    </row>
    <row r="73" spans="2:3">
      <c r="B73" s="60" t="s">
        <v>81</v>
      </c>
      <c r="C73" s="60" t="s">
        <v>82</v>
      </c>
    </row>
    <row r="74" spans="2:3">
      <c r="B74" s="60" t="s">
        <v>83</v>
      </c>
      <c r="C74" s="60" t="s">
        <v>84</v>
      </c>
    </row>
    <row r="75" spans="2:3">
      <c r="B75" s="60" t="s">
        <v>85</v>
      </c>
      <c r="C75" s="60" t="s">
        <v>86</v>
      </c>
    </row>
    <row r="76" spans="2:3">
      <c r="B76" s="60" t="s">
        <v>87</v>
      </c>
      <c r="C76" s="60" t="s">
        <v>88</v>
      </c>
    </row>
    <row r="77" spans="2:3">
      <c r="B77" s="60" t="s">
        <v>89</v>
      </c>
      <c r="C77" s="60" t="s">
        <v>90</v>
      </c>
    </row>
    <row r="78" spans="2:3">
      <c r="B78" s="60" t="s">
        <v>91</v>
      </c>
      <c r="C78" s="60" t="s">
        <v>92</v>
      </c>
    </row>
    <row r="79" spans="2:3">
      <c r="B79" s="60" t="s">
        <v>93</v>
      </c>
      <c r="C79" s="60" t="s">
        <v>94</v>
      </c>
    </row>
    <row r="80" spans="2:3">
      <c r="B80" s="60" t="s">
        <v>95</v>
      </c>
      <c r="C80" s="60" t="s">
        <v>96</v>
      </c>
    </row>
    <row r="81" spans="2:3">
      <c r="B81" s="60" t="s">
        <v>97</v>
      </c>
      <c r="C81" s="60" t="s">
        <v>98</v>
      </c>
    </row>
    <row r="82" spans="2:3">
      <c r="B82" s="60" t="s">
        <v>99</v>
      </c>
      <c r="C82" s="60" t="s">
        <v>100</v>
      </c>
    </row>
    <row r="83" spans="2:3">
      <c r="B83" s="60" t="s">
        <v>101</v>
      </c>
      <c r="C83" s="60" t="s">
        <v>102</v>
      </c>
    </row>
    <row r="84" spans="2:3">
      <c r="B84" s="60" t="s">
        <v>103</v>
      </c>
      <c r="C84" s="60" t="s">
        <v>104</v>
      </c>
    </row>
    <row r="85" spans="2:3">
      <c r="B85" s="60" t="s">
        <v>105</v>
      </c>
      <c r="C85" s="60" t="s">
        <v>106</v>
      </c>
    </row>
    <row r="86" spans="2:3">
      <c r="B86" s="60" t="s">
        <v>107</v>
      </c>
      <c r="C86" s="60" t="s">
        <v>108</v>
      </c>
    </row>
    <row r="87" spans="2:3">
      <c r="B87" s="60" t="s">
        <v>109</v>
      </c>
      <c r="C87" s="60" t="s">
        <v>110</v>
      </c>
    </row>
    <row r="88" spans="2:3">
      <c r="B88" s="60" t="s">
        <v>111</v>
      </c>
      <c r="C88" s="60" t="s">
        <v>112</v>
      </c>
    </row>
    <row r="89" spans="2:3">
      <c r="B89" s="60" t="s">
        <v>113</v>
      </c>
      <c r="C89" s="60" t="s">
        <v>114</v>
      </c>
    </row>
    <row r="90" spans="2:3">
      <c r="B90" s="60" t="s">
        <v>115</v>
      </c>
      <c r="C90" s="60" t="s">
        <v>116</v>
      </c>
    </row>
    <row r="91" spans="2:3">
      <c r="B91" s="60" t="s">
        <v>117</v>
      </c>
      <c r="C91" s="60" t="s">
        <v>118</v>
      </c>
    </row>
    <row r="92" spans="2:3">
      <c r="B92" s="60" t="s">
        <v>119</v>
      </c>
      <c r="C92" s="60" t="s">
        <v>120</v>
      </c>
    </row>
    <row r="93" spans="2:3">
      <c r="B93" s="60" t="s">
        <v>121</v>
      </c>
      <c r="C93" s="60" t="s">
        <v>122</v>
      </c>
    </row>
    <row r="94" spans="2:3">
      <c r="B94" s="60" t="s">
        <v>123</v>
      </c>
      <c r="C94" s="60" t="s">
        <v>124</v>
      </c>
    </row>
    <row r="95" spans="2:3">
      <c r="B95" s="60" t="s">
        <v>125</v>
      </c>
      <c r="C95" s="60" t="s">
        <v>126</v>
      </c>
    </row>
    <row r="96" spans="2:3">
      <c r="B96" s="60" t="s">
        <v>127</v>
      </c>
      <c r="C96" s="60" t="s">
        <v>128</v>
      </c>
    </row>
    <row r="97" spans="2:3">
      <c r="B97" s="60" t="s">
        <v>129</v>
      </c>
      <c r="C97" s="60" t="s">
        <v>130</v>
      </c>
    </row>
    <row r="98" spans="2:3">
      <c r="B98" s="60" t="s">
        <v>131</v>
      </c>
      <c r="C98" s="60" t="s">
        <v>132</v>
      </c>
    </row>
    <row r="99" spans="2:3">
      <c r="B99" s="60" t="s">
        <v>133</v>
      </c>
      <c r="C99" s="60" t="s">
        <v>134</v>
      </c>
    </row>
    <row r="100" spans="2:3">
      <c r="B100" s="60" t="s">
        <v>135</v>
      </c>
      <c r="C100" s="60" t="s">
        <v>136</v>
      </c>
    </row>
    <row r="101" spans="2:3">
      <c r="B101" s="60" t="s">
        <v>137</v>
      </c>
      <c r="C101" s="60" t="s">
        <v>138</v>
      </c>
    </row>
    <row r="102" spans="2:3">
      <c r="B102" s="60" t="s">
        <v>139</v>
      </c>
      <c r="C102" s="60" t="s">
        <v>140</v>
      </c>
    </row>
    <row r="103" spans="2:3">
      <c r="B103" s="60" t="s">
        <v>141</v>
      </c>
      <c r="C103" s="60" t="s">
        <v>142</v>
      </c>
    </row>
    <row r="104" spans="2:3">
      <c r="B104" s="60" t="s">
        <v>143</v>
      </c>
      <c r="C104" s="60" t="s">
        <v>144</v>
      </c>
    </row>
    <row r="105" spans="2:3">
      <c r="B105" s="60" t="s">
        <v>145</v>
      </c>
      <c r="C105" s="60" t="s">
        <v>146</v>
      </c>
    </row>
    <row r="106" spans="2:3">
      <c r="B106" s="60" t="s">
        <v>147</v>
      </c>
      <c r="C106" s="60" t="s">
        <v>148</v>
      </c>
    </row>
    <row r="107" spans="2:3">
      <c r="B107" s="60" t="s">
        <v>149</v>
      </c>
      <c r="C107" s="60" t="s">
        <v>150</v>
      </c>
    </row>
    <row r="108" spans="2:3">
      <c r="B108" s="60" t="s">
        <v>151</v>
      </c>
      <c r="C108" s="60" t="s">
        <v>152</v>
      </c>
    </row>
    <row r="109" spans="2:3">
      <c r="B109" s="60" t="s">
        <v>153</v>
      </c>
      <c r="C109" s="60" t="s">
        <v>154</v>
      </c>
    </row>
    <row r="110" spans="2:3">
      <c r="B110" s="60" t="s">
        <v>155</v>
      </c>
      <c r="C110" s="60" t="s">
        <v>156</v>
      </c>
    </row>
    <row r="111" spans="2:3">
      <c r="B111" s="60" t="s">
        <v>157</v>
      </c>
      <c r="C111" s="60" t="s">
        <v>158</v>
      </c>
    </row>
    <row r="112" spans="2:3">
      <c r="B112" s="60" t="s">
        <v>159</v>
      </c>
      <c r="C112" s="60" t="s">
        <v>160</v>
      </c>
    </row>
    <row r="113" spans="2:3">
      <c r="B113" s="60" t="s">
        <v>161</v>
      </c>
      <c r="C113" s="60" t="s">
        <v>162</v>
      </c>
    </row>
    <row r="114" spans="2:3">
      <c r="B114" s="60" t="s">
        <v>163</v>
      </c>
      <c r="C114" s="60" t="s">
        <v>164</v>
      </c>
    </row>
    <row r="115" spans="2:3">
      <c r="B115" s="60" t="s">
        <v>165</v>
      </c>
      <c r="C115" s="60" t="s">
        <v>166</v>
      </c>
    </row>
    <row r="116" spans="2:3">
      <c r="B116" s="60" t="s">
        <v>167</v>
      </c>
      <c r="C116" s="60" t="s">
        <v>168</v>
      </c>
    </row>
    <row r="117" spans="2:3">
      <c r="B117" s="60" t="s">
        <v>169</v>
      </c>
      <c r="C117" s="60" t="s">
        <v>170</v>
      </c>
    </row>
    <row r="118" spans="2:3">
      <c r="B118" s="60" t="s">
        <v>171</v>
      </c>
      <c r="C118" s="60" t="s">
        <v>172</v>
      </c>
    </row>
    <row r="119" spans="2:3">
      <c r="B119" s="60" t="s">
        <v>173</v>
      </c>
      <c r="C119" s="60" t="s">
        <v>174</v>
      </c>
    </row>
    <row r="120" spans="2:3">
      <c r="B120" s="60" t="s">
        <v>175</v>
      </c>
      <c r="C120" s="60" t="s">
        <v>176</v>
      </c>
    </row>
    <row r="121" spans="2:3">
      <c r="B121" s="60" t="s">
        <v>177</v>
      </c>
      <c r="C121" s="60" t="s">
        <v>178</v>
      </c>
    </row>
    <row r="122" spans="2:3">
      <c r="B122" s="60" t="s">
        <v>179</v>
      </c>
      <c r="C122" s="60" t="s">
        <v>180</v>
      </c>
    </row>
    <row r="123" spans="2:3">
      <c r="B123" s="60" t="s">
        <v>181</v>
      </c>
      <c r="C123" s="60" t="s">
        <v>182</v>
      </c>
    </row>
    <row r="124" spans="2:3">
      <c r="B124" s="60" t="s">
        <v>183</v>
      </c>
      <c r="C124" s="60" t="s">
        <v>184</v>
      </c>
    </row>
    <row r="125" spans="2:3">
      <c r="B125" s="60" t="s">
        <v>185</v>
      </c>
      <c r="C125" s="60" t="s">
        <v>186</v>
      </c>
    </row>
    <row r="126" spans="2:3">
      <c r="B126" s="60" t="s">
        <v>187</v>
      </c>
      <c r="C126" s="60" t="s">
        <v>188</v>
      </c>
    </row>
    <row r="127" spans="2:3">
      <c r="B127" s="60" t="s">
        <v>189</v>
      </c>
      <c r="C127" s="60" t="s">
        <v>190</v>
      </c>
    </row>
    <row r="128" spans="2:3">
      <c r="B128" s="60" t="s">
        <v>191</v>
      </c>
      <c r="C128" s="60" t="s">
        <v>192</v>
      </c>
    </row>
    <row r="129" spans="2:3">
      <c r="B129" s="60" t="s">
        <v>193</v>
      </c>
      <c r="C129" s="60" t="s">
        <v>194</v>
      </c>
    </row>
    <row r="130" spans="2:3">
      <c r="B130" s="60" t="s">
        <v>195</v>
      </c>
      <c r="C130" s="60" t="s">
        <v>196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254D-9079-40A4-9C59-71B06B22DDFF}">
  <sheetPr codeName="Sheet2"/>
  <dimension ref="B3:AH197"/>
  <sheetViews>
    <sheetView workbookViewId="0"/>
  </sheetViews>
  <sheetFormatPr defaultColWidth="8.5703125" defaultRowHeight="15"/>
  <cols>
    <col min="1" max="8" width="8.5703125" style="3"/>
    <col min="9" max="9" width="9.140625" style="3" bestFit="1" customWidth="1"/>
    <col min="10" max="16384" width="8.5703125" style="3"/>
  </cols>
  <sheetData>
    <row r="3" spans="2:17">
      <c r="B3" s="3">
        <v>10</v>
      </c>
    </row>
    <row r="4" spans="2:17">
      <c r="B4" s="3">
        <v>15</v>
      </c>
    </row>
    <row r="6" spans="2:17">
      <c r="C6" s="3" cm="1">
        <f t="array" ref="C6:Q15">_xlfn.SEQUENCE(B3,B4)</f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</row>
    <row r="7" spans="2:17">
      <c r="C7" s="3">
        <v>16</v>
      </c>
      <c r="D7" s="3">
        <v>17</v>
      </c>
      <c r="E7" s="3">
        <v>18</v>
      </c>
      <c r="F7" s="3">
        <v>19</v>
      </c>
      <c r="G7" s="3">
        <v>20</v>
      </c>
      <c r="H7" s="3">
        <v>21</v>
      </c>
      <c r="I7" s="3">
        <v>22</v>
      </c>
      <c r="J7" s="3">
        <v>23</v>
      </c>
      <c r="K7" s="3">
        <v>24</v>
      </c>
      <c r="L7" s="3">
        <v>25</v>
      </c>
      <c r="M7" s="3">
        <v>26</v>
      </c>
      <c r="N7" s="3">
        <v>27</v>
      </c>
      <c r="O7" s="3">
        <v>28</v>
      </c>
      <c r="P7" s="3">
        <v>29</v>
      </c>
      <c r="Q7" s="3">
        <v>30</v>
      </c>
    </row>
    <row r="8" spans="2:17">
      <c r="C8" s="3">
        <v>31</v>
      </c>
      <c r="D8" s="3">
        <v>32</v>
      </c>
      <c r="E8" s="3">
        <v>33</v>
      </c>
      <c r="F8" s="3">
        <v>34</v>
      </c>
      <c r="G8" s="3">
        <v>35</v>
      </c>
      <c r="H8" s="3">
        <v>36</v>
      </c>
      <c r="I8" s="3">
        <v>37</v>
      </c>
      <c r="J8" s="3">
        <v>38</v>
      </c>
      <c r="K8" s="3">
        <v>39</v>
      </c>
      <c r="L8" s="3">
        <v>40</v>
      </c>
      <c r="M8" s="3">
        <v>41</v>
      </c>
      <c r="N8" s="3">
        <v>42</v>
      </c>
      <c r="O8" s="3">
        <v>43</v>
      </c>
      <c r="P8" s="3">
        <v>44</v>
      </c>
      <c r="Q8" s="3">
        <v>45</v>
      </c>
    </row>
    <row r="9" spans="2:17">
      <c r="C9" s="3">
        <v>46</v>
      </c>
      <c r="D9" s="3">
        <v>47</v>
      </c>
      <c r="E9" s="3">
        <v>48</v>
      </c>
      <c r="F9" s="3">
        <v>49</v>
      </c>
      <c r="G9" s="3">
        <v>50</v>
      </c>
      <c r="H9" s="3">
        <v>51</v>
      </c>
      <c r="I9" s="3">
        <v>52</v>
      </c>
      <c r="J9" s="3">
        <v>53</v>
      </c>
      <c r="K9" s="3">
        <v>54</v>
      </c>
      <c r="L9" s="3">
        <v>55</v>
      </c>
      <c r="M9" s="3">
        <v>56</v>
      </c>
      <c r="N9" s="3">
        <v>57</v>
      </c>
      <c r="O9" s="3">
        <v>58</v>
      </c>
      <c r="P9" s="3">
        <v>59</v>
      </c>
      <c r="Q9" s="3">
        <v>60</v>
      </c>
    </row>
    <row r="10" spans="2:17">
      <c r="C10" s="3">
        <v>61</v>
      </c>
      <c r="D10" s="3">
        <v>62</v>
      </c>
      <c r="E10" s="3">
        <v>63</v>
      </c>
      <c r="F10" s="3">
        <v>64</v>
      </c>
      <c r="G10" s="3">
        <v>65</v>
      </c>
      <c r="H10" s="3">
        <v>66</v>
      </c>
      <c r="I10" s="3">
        <v>67</v>
      </c>
      <c r="J10" s="3">
        <v>68</v>
      </c>
      <c r="K10" s="3">
        <v>69</v>
      </c>
      <c r="L10" s="3">
        <v>70</v>
      </c>
      <c r="M10" s="3">
        <v>71</v>
      </c>
      <c r="N10" s="3">
        <v>72</v>
      </c>
      <c r="O10" s="3">
        <v>73</v>
      </c>
      <c r="P10" s="3">
        <v>74</v>
      </c>
      <c r="Q10" s="3">
        <v>75</v>
      </c>
    </row>
    <row r="11" spans="2:17">
      <c r="C11" s="3">
        <v>76</v>
      </c>
      <c r="D11" s="3">
        <v>77</v>
      </c>
      <c r="E11" s="3">
        <v>78</v>
      </c>
      <c r="F11" s="3">
        <v>79</v>
      </c>
      <c r="G11" s="3">
        <v>80</v>
      </c>
      <c r="H11" s="3">
        <v>81</v>
      </c>
      <c r="I11" s="3">
        <v>82</v>
      </c>
      <c r="J11" s="3">
        <v>83</v>
      </c>
      <c r="K11" s="3">
        <v>84</v>
      </c>
      <c r="L11" s="3">
        <v>85</v>
      </c>
      <c r="M11" s="3">
        <v>86</v>
      </c>
      <c r="N11" s="3">
        <v>87</v>
      </c>
      <c r="O11" s="3">
        <v>88</v>
      </c>
      <c r="P11" s="3">
        <v>89</v>
      </c>
      <c r="Q11" s="3">
        <v>90</v>
      </c>
    </row>
    <row r="12" spans="2:17">
      <c r="C12" s="3">
        <v>91</v>
      </c>
      <c r="D12" s="3">
        <v>92</v>
      </c>
      <c r="E12" s="3">
        <v>93</v>
      </c>
      <c r="F12" s="3">
        <v>94</v>
      </c>
      <c r="G12" s="3">
        <v>95</v>
      </c>
      <c r="H12" s="3">
        <v>96</v>
      </c>
      <c r="I12" s="3">
        <v>97</v>
      </c>
      <c r="J12" s="3">
        <v>98</v>
      </c>
      <c r="K12" s="3">
        <v>99</v>
      </c>
      <c r="L12" s="3">
        <v>100</v>
      </c>
      <c r="M12" s="3">
        <v>101</v>
      </c>
      <c r="N12" s="3">
        <v>102</v>
      </c>
      <c r="O12" s="3">
        <v>103</v>
      </c>
      <c r="P12" s="3">
        <v>104</v>
      </c>
      <c r="Q12" s="3">
        <v>105</v>
      </c>
    </row>
    <row r="13" spans="2:17">
      <c r="C13" s="3">
        <v>106</v>
      </c>
      <c r="D13" s="3">
        <v>107</v>
      </c>
      <c r="E13" s="3">
        <v>108</v>
      </c>
      <c r="F13" s="3">
        <v>109</v>
      </c>
      <c r="G13" s="3">
        <v>110</v>
      </c>
      <c r="H13" s="3">
        <v>111</v>
      </c>
      <c r="I13" s="3">
        <v>112</v>
      </c>
      <c r="J13" s="3">
        <v>113</v>
      </c>
      <c r="K13" s="3">
        <v>114</v>
      </c>
      <c r="L13" s="3">
        <v>115</v>
      </c>
      <c r="M13" s="3">
        <v>116</v>
      </c>
      <c r="N13" s="3">
        <v>117</v>
      </c>
      <c r="O13" s="3">
        <v>118</v>
      </c>
      <c r="P13" s="3">
        <v>119</v>
      </c>
      <c r="Q13" s="3">
        <v>120</v>
      </c>
    </row>
    <row r="14" spans="2:17">
      <c r="C14" s="3">
        <v>121</v>
      </c>
      <c r="D14" s="3">
        <v>122</v>
      </c>
      <c r="E14" s="3">
        <v>123</v>
      </c>
      <c r="F14" s="3">
        <v>124</v>
      </c>
      <c r="G14" s="3">
        <v>125</v>
      </c>
      <c r="H14" s="3">
        <v>126</v>
      </c>
      <c r="I14" s="3">
        <v>127</v>
      </c>
      <c r="J14" s="3">
        <v>128</v>
      </c>
      <c r="K14" s="3">
        <v>129</v>
      </c>
      <c r="L14" s="3">
        <v>130</v>
      </c>
      <c r="M14" s="3">
        <v>131</v>
      </c>
      <c r="N14" s="3">
        <v>132</v>
      </c>
      <c r="O14" s="3">
        <v>133</v>
      </c>
      <c r="P14" s="3">
        <v>134</v>
      </c>
      <c r="Q14" s="3">
        <v>135</v>
      </c>
    </row>
    <row r="15" spans="2:17">
      <c r="C15" s="3">
        <v>136</v>
      </c>
      <c r="D15" s="3">
        <v>137</v>
      </c>
      <c r="E15" s="3">
        <v>138</v>
      </c>
      <c r="F15" s="3">
        <v>139</v>
      </c>
      <c r="G15" s="3">
        <v>140</v>
      </c>
      <c r="H15" s="3">
        <v>141</v>
      </c>
      <c r="I15" s="3">
        <v>142</v>
      </c>
      <c r="J15" s="3">
        <v>143</v>
      </c>
      <c r="K15" s="3">
        <v>144</v>
      </c>
      <c r="L15" s="3">
        <v>145</v>
      </c>
      <c r="M15" s="3">
        <v>146</v>
      </c>
      <c r="N15" s="3">
        <v>147</v>
      </c>
      <c r="O15" s="3">
        <v>148</v>
      </c>
      <c r="P15" s="3">
        <v>149</v>
      </c>
      <c r="Q15" s="3">
        <v>150</v>
      </c>
    </row>
    <row r="21" spans="2:34">
      <c r="C21" s="3" cm="1">
        <f t="array" ref="C21:Q21">_xlfn.SEQUENCE(,B4)</f>
        <v>1</v>
      </c>
      <c r="D21" s="3">
        <v>2</v>
      </c>
      <c r="E21" s="3">
        <v>3</v>
      </c>
      <c r="F21" s="3">
        <v>4</v>
      </c>
      <c r="G21" s="3">
        <v>5</v>
      </c>
      <c r="H21" s="3">
        <v>6</v>
      </c>
      <c r="I21" s="3">
        <v>7</v>
      </c>
      <c r="J21" s="3">
        <v>8</v>
      </c>
      <c r="K21" s="3">
        <v>9</v>
      </c>
      <c r="L21" s="3">
        <v>10</v>
      </c>
      <c r="M21" s="3">
        <v>11</v>
      </c>
      <c r="N21" s="3">
        <v>12</v>
      </c>
      <c r="O21" s="3">
        <v>13</v>
      </c>
      <c r="P21" s="3">
        <v>14</v>
      </c>
      <c r="Q21" s="3">
        <v>15</v>
      </c>
    </row>
    <row r="22" spans="2:34">
      <c r="B22" s="3" cm="1">
        <f t="array" ref="B22:B31">_xlfn.SEQUENCE(B3)</f>
        <v>1</v>
      </c>
      <c r="C22" s="3" cm="1">
        <f t="array" ref="C22:Q31">_xlfn.ANCHORARRAY(C21)-_xlfn.ANCHORARRAY(B22)+1000000</f>
        <v>1000000</v>
      </c>
      <c r="D22" s="3">
        <v>1000001</v>
      </c>
      <c r="E22" s="3">
        <v>1000002</v>
      </c>
      <c r="F22" s="3">
        <v>1000003</v>
      </c>
      <c r="G22" s="3">
        <v>1000004</v>
      </c>
      <c r="H22" s="3">
        <v>1000005</v>
      </c>
      <c r="I22" s="3">
        <v>1000006</v>
      </c>
      <c r="J22" s="3">
        <v>1000007</v>
      </c>
      <c r="K22" s="3">
        <v>1000008</v>
      </c>
      <c r="L22" s="3">
        <v>1000009</v>
      </c>
      <c r="M22" s="3">
        <v>1000010</v>
      </c>
      <c r="N22" s="3">
        <v>1000011</v>
      </c>
      <c r="O22" s="3">
        <v>1000012</v>
      </c>
      <c r="P22" s="3">
        <v>1000013</v>
      </c>
      <c r="Q22" s="3">
        <v>1000014</v>
      </c>
      <c r="T22" s="3" cm="1">
        <f t="array" ref="T22:AH31">_xlfn.ANCHORARRAY(B22)+_xlfn.ANCHORARRAY(C21)</f>
        <v>2</v>
      </c>
      <c r="U22" s="3">
        <v>3</v>
      </c>
      <c r="V22" s="3">
        <v>4</v>
      </c>
      <c r="W22" s="3">
        <v>5</v>
      </c>
      <c r="X22" s="3">
        <v>6</v>
      </c>
      <c r="Y22" s="3">
        <v>7</v>
      </c>
      <c r="Z22" s="3">
        <v>8</v>
      </c>
      <c r="AA22" s="3">
        <v>9</v>
      </c>
      <c r="AB22" s="3">
        <v>10</v>
      </c>
      <c r="AC22" s="3">
        <v>11</v>
      </c>
      <c r="AD22" s="3">
        <v>12</v>
      </c>
      <c r="AE22" s="3">
        <v>13</v>
      </c>
      <c r="AF22" s="3">
        <v>14</v>
      </c>
      <c r="AG22" s="3">
        <v>15</v>
      </c>
      <c r="AH22" s="3">
        <v>16</v>
      </c>
    </row>
    <row r="23" spans="2:34">
      <c r="B23" s="3">
        <v>2</v>
      </c>
      <c r="C23" s="3">
        <v>999999</v>
      </c>
      <c r="D23" s="3">
        <v>1000000</v>
      </c>
      <c r="E23" s="3">
        <v>1000001</v>
      </c>
      <c r="F23" s="3">
        <v>1000002</v>
      </c>
      <c r="G23" s="3">
        <v>1000003</v>
      </c>
      <c r="H23" s="3">
        <v>1000004</v>
      </c>
      <c r="I23" s="3">
        <v>1000005</v>
      </c>
      <c r="J23" s="3">
        <v>1000006</v>
      </c>
      <c r="K23" s="3">
        <v>1000007</v>
      </c>
      <c r="L23" s="3">
        <v>1000008</v>
      </c>
      <c r="M23" s="3">
        <v>1000009</v>
      </c>
      <c r="N23" s="3">
        <v>1000010</v>
      </c>
      <c r="O23" s="3">
        <v>1000011</v>
      </c>
      <c r="P23" s="3">
        <v>1000012</v>
      </c>
      <c r="Q23" s="3">
        <v>1000013</v>
      </c>
      <c r="T23" s="3">
        <v>3</v>
      </c>
      <c r="U23" s="3">
        <v>4</v>
      </c>
      <c r="V23" s="3">
        <v>5</v>
      </c>
      <c r="W23" s="3">
        <v>6</v>
      </c>
      <c r="X23" s="3">
        <v>7</v>
      </c>
      <c r="Y23" s="3">
        <v>8</v>
      </c>
      <c r="Z23" s="3">
        <v>9</v>
      </c>
      <c r="AA23" s="3">
        <v>10</v>
      </c>
      <c r="AB23" s="3">
        <v>11</v>
      </c>
      <c r="AC23" s="3">
        <v>12</v>
      </c>
      <c r="AD23" s="3">
        <v>13</v>
      </c>
      <c r="AE23" s="3">
        <v>14</v>
      </c>
      <c r="AF23" s="3">
        <v>15</v>
      </c>
      <c r="AG23" s="3">
        <v>16</v>
      </c>
      <c r="AH23" s="3">
        <v>17</v>
      </c>
    </row>
    <row r="24" spans="2:34">
      <c r="B24" s="3">
        <v>3</v>
      </c>
      <c r="C24" s="3">
        <v>999998</v>
      </c>
      <c r="D24" s="3">
        <v>999999</v>
      </c>
      <c r="E24" s="3">
        <v>1000000</v>
      </c>
      <c r="F24" s="3">
        <v>1000001</v>
      </c>
      <c r="G24" s="3">
        <v>1000002</v>
      </c>
      <c r="H24" s="3">
        <v>1000003</v>
      </c>
      <c r="I24" s="3">
        <v>1000004</v>
      </c>
      <c r="J24" s="3">
        <v>1000005</v>
      </c>
      <c r="K24" s="3">
        <v>1000006</v>
      </c>
      <c r="L24" s="3">
        <v>1000007</v>
      </c>
      <c r="M24" s="3">
        <v>1000008</v>
      </c>
      <c r="N24" s="3">
        <v>1000009</v>
      </c>
      <c r="O24" s="3">
        <v>1000010</v>
      </c>
      <c r="P24" s="3">
        <v>1000011</v>
      </c>
      <c r="Q24" s="3">
        <v>1000012</v>
      </c>
      <c r="T24" s="3">
        <v>4</v>
      </c>
      <c r="U24" s="3">
        <v>5</v>
      </c>
      <c r="V24" s="3">
        <v>6</v>
      </c>
      <c r="W24" s="3">
        <v>7</v>
      </c>
      <c r="X24" s="3">
        <v>8</v>
      </c>
      <c r="Y24" s="3">
        <v>9</v>
      </c>
      <c r="Z24" s="3">
        <v>10</v>
      </c>
      <c r="AA24" s="3">
        <v>11</v>
      </c>
      <c r="AB24" s="3">
        <v>12</v>
      </c>
      <c r="AC24" s="3">
        <v>13</v>
      </c>
      <c r="AD24" s="3">
        <v>14</v>
      </c>
      <c r="AE24" s="3">
        <v>15</v>
      </c>
      <c r="AF24" s="3">
        <v>16</v>
      </c>
      <c r="AG24" s="3">
        <v>17</v>
      </c>
      <c r="AH24" s="3">
        <v>18</v>
      </c>
    </row>
    <row r="25" spans="2:34">
      <c r="B25" s="3">
        <v>4</v>
      </c>
      <c r="C25" s="3">
        <v>999997</v>
      </c>
      <c r="D25" s="3">
        <v>999998</v>
      </c>
      <c r="E25" s="3">
        <v>999999</v>
      </c>
      <c r="F25" s="3">
        <v>1000000</v>
      </c>
      <c r="G25" s="3">
        <v>1000001</v>
      </c>
      <c r="H25" s="3">
        <v>1000002</v>
      </c>
      <c r="I25" s="3">
        <v>1000003</v>
      </c>
      <c r="J25" s="3">
        <v>1000004</v>
      </c>
      <c r="K25" s="3">
        <v>1000005</v>
      </c>
      <c r="L25" s="3">
        <v>1000006</v>
      </c>
      <c r="M25" s="3">
        <v>1000007</v>
      </c>
      <c r="N25" s="3">
        <v>1000008</v>
      </c>
      <c r="O25" s="3">
        <v>1000009</v>
      </c>
      <c r="P25" s="3">
        <v>1000010</v>
      </c>
      <c r="Q25" s="3">
        <v>1000011</v>
      </c>
      <c r="T25" s="3">
        <v>5</v>
      </c>
      <c r="U25" s="3">
        <v>6</v>
      </c>
      <c r="V25" s="3">
        <v>7</v>
      </c>
      <c r="W25" s="3">
        <v>8</v>
      </c>
      <c r="X25" s="3">
        <v>9</v>
      </c>
      <c r="Y25" s="3">
        <v>10</v>
      </c>
      <c r="Z25" s="3">
        <v>11</v>
      </c>
      <c r="AA25" s="3">
        <v>12</v>
      </c>
      <c r="AB25" s="3">
        <v>13</v>
      </c>
      <c r="AC25" s="3">
        <v>14</v>
      </c>
      <c r="AD25" s="3">
        <v>15</v>
      </c>
      <c r="AE25" s="3">
        <v>16</v>
      </c>
      <c r="AF25" s="3">
        <v>17</v>
      </c>
      <c r="AG25" s="3">
        <v>18</v>
      </c>
      <c r="AH25" s="3">
        <v>19</v>
      </c>
    </row>
    <row r="26" spans="2:34">
      <c r="B26" s="3">
        <v>5</v>
      </c>
      <c r="C26" s="3">
        <v>999996</v>
      </c>
      <c r="D26" s="3">
        <v>999997</v>
      </c>
      <c r="E26" s="3">
        <v>999998</v>
      </c>
      <c r="F26" s="3">
        <v>999999</v>
      </c>
      <c r="G26" s="3">
        <v>1000000</v>
      </c>
      <c r="H26" s="3">
        <v>1000001</v>
      </c>
      <c r="I26" s="3">
        <v>1000002</v>
      </c>
      <c r="J26" s="3">
        <v>1000003</v>
      </c>
      <c r="K26" s="3">
        <v>1000004</v>
      </c>
      <c r="L26" s="3">
        <v>1000005</v>
      </c>
      <c r="M26" s="3">
        <v>1000006</v>
      </c>
      <c r="N26" s="3">
        <v>1000007</v>
      </c>
      <c r="O26" s="3">
        <v>1000008</v>
      </c>
      <c r="P26" s="3">
        <v>1000009</v>
      </c>
      <c r="Q26" s="3">
        <v>1000010</v>
      </c>
      <c r="T26" s="3">
        <v>6</v>
      </c>
      <c r="U26" s="3">
        <v>7</v>
      </c>
      <c r="V26" s="3">
        <v>8</v>
      </c>
      <c r="W26" s="3">
        <v>9</v>
      </c>
      <c r="X26" s="3">
        <v>10</v>
      </c>
      <c r="Y26" s="3">
        <v>11</v>
      </c>
      <c r="Z26" s="3">
        <v>12</v>
      </c>
      <c r="AA26" s="3">
        <v>13</v>
      </c>
      <c r="AB26" s="3">
        <v>14</v>
      </c>
      <c r="AC26" s="3">
        <v>15</v>
      </c>
      <c r="AD26" s="3">
        <v>16</v>
      </c>
      <c r="AE26" s="3">
        <v>17</v>
      </c>
      <c r="AF26" s="3">
        <v>18</v>
      </c>
      <c r="AG26" s="3">
        <v>19</v>
      </c>
      <c r="AH26" s="3">
        <v>20</v>
      </c>
    </row>
    <row r="27" spans="2:34">
      <c r="B27" s="3">
        <v>6</v>
      </c>
      <c r="C27" s="3">
        <v>999995</v>
      </c>
      <c r="D27" s="3">
        <v>999996</v>
      </c>
      <c r="E27" s="3">
        <v>999997</v>
      </c>
      <c r="F27" s="3">
        <v>999998</v>
      </c>
      <c r="G27" s="3">
        <v>999999</v>
      </c>
      <c r="H27" s="3">
        <v>1000000</v>
      </c>
      <c r="I27" s="3">
        <v>1000001</v>
      </c>
      <c r="J27" s="3">
        <v>1000002</v>
      </c>
      <c r="K27" s="3">
        <v>1000003</v>
      </c>
      <c r="L27" s="3">
        <v>1000004</v>
      </c>
      <c r="M27" s="3">
        <v>1000005</v>
      </c>
      <c r="N27" s="3">
        <v>1000006</v>
      </c>
      <c r="O27" s="3">
        <v>1000007</v>
      </c>
      <c r="P27" s="3">
        <v>1000008</v>
      </c>
      <c r="Q27" s="3">
        <v>1000009</v>
      </c>
      <c r="T27" s="3">
        <v>7</v>
      </c>
      <c r="U27" s="3">
        <v>8</v>
      </c>
      <c r="V27" s="3">
        <v>9</v>
      </c>
      <c r="W27" s="3">
        <v>10</v>
      </c>
      <c r="X27" s="3">
        <v>11</v>
      </c>
      <c r="Y27" s="3">
        <v>12</v>
      </c>
      <c r="Z27" s="3">
        <v>13</v>
      </c>
      <c r="AA27" s="3">
        <v>14</v>
      </c>
      <c r="AB27" s="3">
        <v>15</v>
      </c>
      <c r="AC27" s="3">
        <v>16</v>
      </c>
      <c r="AD27" s="3">
        <v>17</v>
      </c>
      <c r="AE27" s="3">
        <v>18</v>
      </c>
      <c r="AF27" s="3">
        <v>19</v>
      </c>
      <c r="AG27" s="3">
        <v>20</v>
      </c>
      <c r="AH27" s="3">
        <v>21</v>
      </c>
    </row>
    <row r="28" spans="2:34">
      <c r="B28" s="3">
        <v>7</v>
      </c>
      <c r="C28" s="3">
        <v>999994</v>
      </c>
      <c r="D28" s="3">
        <v>999995</v>
      </c>
      <c r="E28" s="3">
        <v>999996</v>
      </c>
      <c r="F28" s="3">
        <v>999997</v>
      </c>
      <c r="G28" s="3">
        <v>999998</v>
      </c>
      <c r="H28" s="3">
        <v>999999</v>
      </c>
      <c r="I28" s="3">
        <v>1000000</v>
      </c>
      <c r="J28" s="3">
        <v>1000001</v>
      </c>
      <c r="K28" s="3">
        <v>1000002</v>
      </c>
      <c r="L28" s="3">
        <v>1000003</v>
      </c>
      <c r="M28" s="3">
        <v>1000004</v>
      </c>
      <c r="N28" s="3">
        <v>1000005</v>
      </c>
      <c r="O28" s="3">
        <v>1000006</v>
      </c>
      <c r="P28" s="3">
        <v>1000007</v>
      </c>
      <c r="Q28" s="3">
        <v>1000008</v>
      </c>
      <c r="T28" s="3">
        <v>8</v>
      </c>
      <c r="U28" s="3">
        <v>9</v>
      </c>
      <c r="V28" s="3">
        <v>10</v>
      </c>
      <c r="W28" s="3">
        <v>11</v>
      </c>
      <c r="X28" s="3">
        <v>12</v>
      </c>
      <c r="Y28" s="3">
        <v>13</v>
      </c>
      <c r="Z28" s="3">
        <v>14</v>
      </c>
      <c r="AA28" s="3">
        <v>15</v>
      </c>
      <c r="AB28" s="3">
        <v>16</v>
      </c>
      <c r="AC28" s="3">
        <v>17</v>
      </c>
      <c r="AD28" s="3">
        <v>18</v>
      </c>
      <c r="AE28" s="3">
        <v>19</v>
      </c>
      <c r="AF28" s="3">
        <v>20</v>
      </c>
      <c r="AG28" s="3">
        <v>21</v>
      </c>
      <c r="AH28" s="3">
        <v>22</v>
      </c>
    </row>
    <row r="29" spans="2:34">
      <c r="B29" s="3">
        <v>8</v>
      </c>
      <c r="C29" s="3">
        <v>999993</v>
      </c>
      <c r="D29" s="3">
        <v>999994</v>
      </c>
      <c r="E29" s="3">
        <v>999995</v>
      </c>
      <c r="F29" s="3">
        <v>999996</v>
      </c>
      <c r="G29" s="3">
        <v>999997</v>
      </c>
      <c r="H29" s="3">
        <v>999998</v>
      </c>
      <c r="I29" s="3">
        <v>999999</v>
      </c>
      <c r="J29" s="3">
        <v>1000000</v>
      </c>
      <c r="K29" s="3">
        <v>1000001</v>
      </c>
      <c r="L29" s="3">
        <v>1000002</v>
      </c>
      <c r="M29" s="3">
        <v>1000003</v>
      </c>
      <c r="N29" s="3">
        <v>1000004</v>
      </c>
      <c r="O29" s="3">
        <v>1000005</v>
      </c>
      <c r="P29" s="3">
        <v>1000006</v>
      </c>
      <c r="Q29" s="3">
        <v>1000007</v>
      </c>
      <c r="T29" s="3">
        <v>9</v>
      </c>
      <c r="U29" s="3">
        <v>10</v>
      </c>
      <c r="V29" s="3">
        <v>11</v>
      </c>
      <c r="W29" s="3">
        <v>12</v>
      </c>
      <c r="X29" s="3">
        <v>13</v>
      </c>
      <c r="Y29" s="3">
        <v>14</v>
      </c>
      <c r="Z29" s="3">
        <v>15</v>
      </c>
      <c r="AA29" s="3">
        <v>16</v>
      </c>
      <c r="AB29" s="3">
        <v>17</v>
      </c>
      <c r="AC29" s="3">
        <v>18</v>
      </c>
      <c r="AD29" s="3">
        <v>19</v>
      </c>
      <c r="AE29" s="3">
        <v>20</v>
      </c>
      <c r="AF29" s="3">
        <v>21</v>
      </c>
      <c r="AG29" s="3">
        <v>22</v>
      </c>
      <c r="AH29" s="3">
        <v>23</v>
      </c>
    </row>
    <row r="30" spans="2:34">
      <c r="B30" s="3">
        <v>9</v>
      </c>
      <c r="C30" s="3">
        <v>999992</v>
      </c>
      <c r="D30" s="3">
        <v>999993</v>
      </c>
      <c r="E30" s="3">
        <v>999994</v>
      </c>
      <c r="F30" s="3">
        <v>999995</v>
      </c>
      <c r="G30" s="3">
        <v>999996</v>
      </c>
      <c r="H30" s="3">
        <v>999997</v>
      </c>
      <c r="I30" s="3">
        <v>999998</v>
      </c>
      <c r="J30" s="3">
        <v>999999</v>
      </c>
      <c r="K30" s="3">
        <v>1000000</v>
      </c>
      <c r="L30" s="3">
        <v>1000001</v>
      </c>
      <c r="M30" s="3">
        <v>1000002</v>
      </c>
      <c r="N30" s="3">
        <v>1000003</v>
      </c>
      <c r="O30" s="3">
        <v>1000004</v>
      </c>
      <c r="P30" s="3">
        <v>1000005</v>
      </c>
      <c r="Q30" s="3">
        <v>1000006</v>
      </c>
      <c r="T30" s="3">
        <v>10</v>
      </c>
      <c r="U30" s="3">
        <v>11</v>
      </c>
      <c r="V30" s="3">
        <v>12</v>
      </c>
      <c r="W30" s="3">
        <v>13</v>
      </c>
      <c r="X30" s="3">
        <v>14</v>
      </c>
      <c r="Y30" s="3">
        <v>15</v>
      </c>
      <c r="Z30" s="3">
        <v>16</v>
      </c>
      <c r="AA30" s="3">
        <v>17</v>
      </c>
      <c r="AB30" s="3">
        <v>18</v>
      </c>
      <c r="AC30" s="3">
        <v>19</v>
      </c>
      <c r="AD30" s="3">
        <v>20</v>
      </c>
      <c r="AE30" s="3">
        <v>21</v>
      </c>
      <c r="AF30" s="3">
        <v>22</v>
      </c>
      <c r="AG30" s="3">
        <v>23</v>
      </c>
      <c r="AH30" s="3">
        <v>24</v>
      </c>
    </row>
    <row r="31" spans="2:34">
      <c r="B31" s="3">
        <v>10</v>
      </c>
      <c r="C31" s="3">
        <v>999991</v>
      </c>
      <c r="D31" s="3">
        <v>999992</v>
      </c>
      <c r="E31" s="3">
        <v>999993</v>
      </c>
      <c r="F31" s="3">
        <v>999994</v>
      </c>
      <c r="G31" s="3">
        <v>999995</v>
      </c>
      <c r="H31" s="3">
        <v>999996</v>
      </c>
      <c r="I31" s="3">
        <v>999997</v>
      </c>
      <c r="J31" s="3">
        <v>999998</v>
      </c>
      <c r="K31" s="3">
        <v>999999</v>
      </c>
      <c r="L31" s="3">
        <v>1000000</v>
      </c>
      <c r="M31" s="3">
        <v>1000001</v>
      </c>
      <c r="N31" s="3">
        <v>1000002</v>
      </c>
      <c r="O31" s="3">
        <v>1000003</v>
      </c>
      <c r="P31" s="3">
        <v>1000004</v>
      </c>
      <c r="Q31" s="3">
        <v>1000005</v>
      </c>
      <c r="T31" s="3">
        <v>11</v>
      </c>
      <c r="U31" s="3">
        <v>12</v>
      </c>
      <c r="V31" s="3">
        <v>13</v>
      </c>
      <c r="W31" s="3">
        <v>14</v>
      </c>
      <c r="X31" s="3">
        <v>15</v>
      </c>
      <c r="Y31" s="3">
        <v>16</v>
      </c>
      <c r="Z31" s="3">
        <v>17</v>
      </c>
      <c r="AA31" s="3">
        <v>18</v>
      </c>
      <c r="AB31" s="3">
        <v>19</v>
      </c>
      <c r="AC31" s="3">
        <v>20</v>
      </c>
      <c r="AD31" s="3">
        <v>21</v>
      </c>
      <c r="AE31" s="3">
        <v>22</v>
      </c>
      <c r="AF31" s="3">
        <v>23</v>
      </c>
      <c r="AG31" s="3">
        <v>24</v>
      </c>
      <c r="AH31" s="3">
        <v>25</v>
      </c>
    </row>
    <row r="35" spans="3:21">
      <c r="C35" s="3" t="str" cm="1">
        <f t="array" ref="C35:Q44">ADDRESS(ROW(_xlfn.ANCHORARRAY(C6)),COLUMN(_xlfn.ANCHORARRAY(C6)),4)</f>
        <v>C6</v>
      </c>
      <c r="D35" s="3" t="str">
        <v>D6</v>
      </c>
      <c r="E35" s="3" t="str">
        <v>E6</v>
      </c>
      <c r="F35" s="3" t="str">
        <v>F6</v>
      </c>
      <c r="G35" s="3" t="str">
        <v>G6</v>
      </c>
      <c r="H35" s="3" t="str">
        <v>H6</v>
      </c>
      <c r="I35" s="3" t="str">
        <v>I6</v>
      </c>
      <c r="J35" s="3" t="str">
        <v>J6</v>
      </c>
      <c r="K35" s="3" t="str">
        <v>K6</v>
      </c>
      <c r="L35" s="3" t="str">
        <v>L6</v>
      </c>
      <c r="M35" s="3" t="str">
        <v>M6</v>
      </c>
      <c r="N35" s="3" t="str">
        <v>N6</v>
      </c>
      <c r="O35" s="3" t="str">
        <v>O6</v>
      </c>
      <c r="P35" s="3" t="str">
        <v>P6</v>
      </c>
      <c r="Q35" s="3" t="str">
        <v>Q6</v>
      </c>
    </row>
    <row r="36" spans="3:21">
      <c r="C36" s="3" t="str">
        <v>C7</v>
      </c>
      <c r="D36" s="3" t="str">
        <v>D7</v>
      </c>
      <c r="E36" s="3" t="str">
        <v>E7</v>
      </c>
      <c r="F36" s="3" t="str">
        <v>F7</v>
      </c>
      <c r="G36" s="3" t="str">
        <v>G7</v>
      </c>
      <c r="H36" s="3" t="str">
        <v>H7</v>
      </c>
      <c r="I36" s="3" t="str">
        <v>I7</v>
      </c>
      <c r="J36" s="3" t="str">
        <v>J7</v>
      </c>
      <c r="K36" s="3" t="str">
        <v>K7</v>
      </c>
      <c r="L36" s="3" t="str">
        <v>L7</v>
      </c>
      <c r="M36" s="3" t="str">
        <v>M7</v>
      </c>
      <c r="N36" s="3" t="str">
        <v>N7</v>
      </c>
      <c r="O36" s="3" t="str">
        <v>O7</v>
      </c>
      <c r="P36" s="3" t="str">
        <v>P7</v>
      </c>
      <c r="Q36" s="3" t="str">
        <v>Q7</v>
      </c>
    </row>
    <row r="37" spans="3:21">
      <c r="C37" s="3" t="str">
        <v>C8</v>
      </c>
      <c r="D37" s="3" t="str">
        <v>D8</v>
      </c>
      <c r="E37" s="3" t="str">
        <v>E8</v>
      </c>
      <c r="F37" s="3" t="str">
        <v>F8</v>
      </c>
      <c r="G37" s="3" t="str">
        <v>G8</v>
      </c>
      <c r="H37" s="3" t="str">
        <v>H8</v>
      </c>
      <c r="I37" s="3" t="str">
        <v>I8</v>
      </c>
      <c r="J37" s="3" t="str">
        <v>J8</v>
      </c>
      <c r="K37" s="3" t="str">
        <v>K8</v>
      </c>
      <c r="L37" s="3" t="str">
        <v>L8</v>
      </c>
      <c r="M37" s="3" t="str">
        <v>M8</v>
      </c>
      <c r="N37" s="3" t="str">
        <v>N8</v>
      </c>
      <c r="O37" s="3" t="str">
        <v>O8</v>
      </c>
      <c r="P37" s="3" t="str">
        <v>P8</v>
      </c>
      <c r="Q37" s="3" t="str">
        <v>Q8</v>
      </c>
    </row>
    <row r="38" spans="3:21">
      <c r="C38" s="3" t="str">
        <v>C9</v>
      </c>
      <c r="D38" s="3" t="str">
        <v>D9</v>
      </c>
      <c r="E38" s="3" t="str">
        <v>E9</v>
      </c>
      <c r="F38" s="3" t="str">
        <v>F9</v>
      </c>
      <c r="G38" s="3" t="str">
        <v>G9</v>
      </c>
      <c r="H38" s="3" t="str">
        <v>H9</v>
      </c>
      <c r="I38" s="3" t="str">
        <v>I9</v>
      </c>
      <c r="J38" s="3" t="str">
        <v>J9</v>
      </c>
      <c r="K38" s="3" t="str">
        <v>K9</v>
      </c>
      <c r="L38" s="3" t="str">
        <v>L9</v>
      </c>
      <c r="M38" s="3" t="str">
        <v>M9</v>
      </c>
      <c r="N38" s="3" t="str">
        <v>N9</v>
      </c>
      <c r="O38" s="3" t="str">
        <v>O9</v>
      </c>
      <c r="P38" s="3" t="str">
        <v>P9</v>
      </c>
      <c r="Q38" s="3" t="str">
        <v>Q9</v>
      </c>
    </row>
    <row r="39" spans="3:21">
      <c r="C39" s="3" t="str">
        <v>C10</v>
      </c>
      <c r="D39" s="3" t="str">
        <v>D10</v>
      </c>
      <c r="E39" s="3" t="str">
        <v>E10</v>
      </c>
      <c r="F39" s="3" t="str">
        <v>F10</v>
      </c>
      <c r="G39" s="3" t="str">
        <v>G10</v>
      </c>
      <c r="H39" s="3" t="str">
        <v>H10</v>
      </c>
      <c r="I39" s="3" t="str">
        <v>I10</v>
      </c>
      <c r="J39" s="3" t="str">
        <v>J10</v>
      </c>
      <c r="K39" s="3" t="str">
        <v>K10</v>
      </c>
      <c r="L39" s="3" t="str">
        <v>L10</v>
      </c>
      <c r="M39" s="3" t="str">
        <v>M10</v>
      </c>
      <c r="N39" s="3" t="str">
        <v>N10</v>
      </c>
      <c r="O39" s="3" t="str">
        <v>O10</v>
      </c>
      <c r="P39" s="3" t="str">
        <v>P10</v>
      </c>
      <c r="Q39" s="3" t="str">
        <v>Q10</v>
      </c>
    </row>
    <row r="40" spans="3:21">
      <c r="C40" s="3" t="str">
        <v>C11</v>
      </c>
      <c r="D40" s="3" t="str">
        <v>D11</v>
      </c>
      <c r="E40" s="3" t="str">
        <v>E11</v>
      </c>
      <c r="F40" s="3" t="str">
        <v>F11</v>
      </c>
      <c r="G40" s="3" t="str">
        <v>G11</v>
      </c>
      <c r="H40" s="3" t="str">
        <v>H11</v>
      </c>
      <c r="I40" s="3" t="str">
        <v>I11</v>
      </c>
      <c r="J40" s="3" t="str">
        <v>J11</v>
      </c>
      <c r="K40" s="3" t="str">
        <v>K11</v>
      </c>
      <c r="L40" s="3" t="str">
        <v>L11</v>
      </c>
      <c r="M40" s="3" t="str">
        <v>M11</v>
      </c>
      <c r="N40" s="3" t="str">
        <v>N11</v>
      </c>
      <c r="O40" s="3" t="str">
        <v>O11</v>
      </c>
      <c r="P40" s="3" t="str">
        <v>P11</v>
      </c>
      <c r="Q40" s="3" t="str">
        <v>Q11</v>
      </c>
    </row>
    <row r="41" spans="3:21">
      <c r="C41" s="3" t="str">
        <v>C12</v>
      </c>
      <c r="D41" s="3" t="str">
        <v>D12</v>
      </c>
      <c r="E41" s="3" t="str">
        <v>E12</v>
      </c>
      <c r="F41" s="3" t="str">
        <v>F12</v>
      </c>
      <c r="G41" s="3" t="str">
        <v>G12</v>
      </c>
      <c r="H41" s="3" t="str">
        <v>H12</v>
      </c>
      <c r="I41" s="3" t="str">
        <v>I12</v>
      </c>
      <c r="J41" s="3" t="str">
        <v>J12</v>
      </c>
      <c r="K41" s="3" t="str">
        <v>K12</v>
      </c>
      <c r="L41" s="3" t="str">
        <v>L12</v>
      </c>
      <c r="M41" s="3" t="str">
        <v>M12</v>
      </c>
      <c r="N41" s="3" t="str">
        <v>N12</v>
      </c>
      <c r="O41" s="3" t="str">
        <v>O12</v>
      </c>
      <c r="P41" s="3" t="str">
        <v>P12</v>
      </c>
      <c r="Q41" s="3" t="str">
        <v>Q12</v>
      </c>
    </row>
    <row r="42" spans="3:21">
      <c r="C42" s="3" t="str">
        <v>C13</v>
      </c>
      <c r="D42" s="3" t="str">
        <v>D13</v>
      </c>
      <c r="E42" s="3" t="str">
        <v>E13</v>
      </c>
      <c r="F42" s="3" t="str">
        <v>F13</v>
      </c>
      <c r="G42" s="3" t="str">
        <v>G13</v>
      </c>
      <c r="H42" s="3" t="str">
        <v>H13</v>
      </c>
      <c r="I42" s="3" t="str">
        <v>I13</v>
      </c>
      <c r="J42" s="3" t="str">
        <v>J13</v>
      </c>
      <c r="K42" s="3" t="str">
        <v>K13</v>
      </c>
      <c r="L42" s="3" t="str">
        <v>L13</v>
      </c>
      <c r="M42" s="3" t="str">
        <v>M13</v>
      </c>
      <c r="N42" s="3" t="str">
        <v>N13</v>
      </c>
      <c r="O42" s="3" t="str">
        <v>O13</v>
      </c>
      <c r="P42" s="3" t="str">
        <v>P13</v>
      </c>
      <c r="Q42" s="3" t="str">
        <v>Q13</v>
      </c>
    </row>
    <row r="43" spans="3:21">
      <c r="C43" s="3" t="str">
        <v>C14</v>
      </c>
      <c r="D43" s="3" t="str">
        <v>D14</v>
      </c>
      <c r="E43" s="3" t="str">
        <v>E14</v>
      </c>
      <c r="F43" s="3" t="str">
        <v>F14</v>
      </c>
      <c r="G43" s="3" t="str">
        <v>G14</v>
      </c>
      <c r="H43" s="3" t="str">
        <v>H14</v>
      </c>
      <c r="I43" s="3" t="str">
        <v>I14</v>
      </c>
      <c r="J43" s="3" t="str">
        <v>J14</v>
      </c>
      <c r="K43" s="3" t="str">
        <v>K14</v>
      </c>
      <c r="L43" s="3" t="str">
        <v>L14</v>
      </c>
      <c r="M43" s="3" t="str">
        <v>M14</v>
      </c>
      <c r="N43" s="3" t="str">
        <v>N14</v>
      </c>
      <c r="O43" s="3" t="str">
        <v>O14</v>
      </c>
      <c r="P43" s="3" t="str">
        <v>P14</v>
      </c>
      <c r="Q43" s="3" t="str">
        <v>Q14</v>
      </c>
    </row>
    <row r="44" spans="3:21">
      <c r="C44" s="3" t="str">
        <v>C15</v>
      </c>
      <c r="D44" s="3" t="str">
        <v>D15</v>
      </c>
      <c r="E44" s="3" t="str">
        <v>E15</v>
      </c>
      <c r="F44" s="3" t="str">
        <v>F15</v>
      </c>
      <c r="G44" s="3" t="str">
        <v>G15</v>
      </c>
      <c r="H44" s="3" t="str">
        <v>H15</v>
      </c>
      <c r="I44" s="3" t="str">
        <v>I15</v>
      </c>
      <c r="J44" s="3" t="str">
        <v>J15</v>
      </c>
      <c r="K44" s="3" t="str">
        <v>K15</v>
      </c>
      <c r="L44" s="3" t="str">
        <v>L15</v>
      </c>
      <c r="M44" s="3" t="str">
        <v>M15</v>
      </c>
      <c r="N44" s="3" t="str">
        <v>N15</v>
      </c>
      <c r="O44" s="3" t="str">
        <v>O15</v>
      </c>
      <c r="P44" s="3" t="str">
        <v>P15</v>
      </c>
      <c r="Q44" s="3" t="str">
        <v>Q15</v>
      </c>
    </row>
    <row r="47" spans="3:21">
      <c r="U47" s="3" t="str" cm="1">
        <f t="array" ref="U47:U94">Lz_Diagonals(_xlfn.ANCHORARRAY(C6))</f>
        <v>C6</v>
      </c>
    </row>
    <row r="48" spans="3:21">
      <c r="C48" s="3" cm="1">
        <f t="array" ref="C48:C197">_xlfn.TOCOL(_xlfn.ANCHORARRAY(C22))</f>
        <v>1000000</v>
      </c>
      <c r="D48" s="3" t="str" cm="1">
        <f t="array" ref="D48:D197">_xlfn.TOCOL(_xlfn.ANCHORARRAY(C35))</f>
        <v>C6</v>
      </c>
      <c r="F48" s="3" t="str" cm="1">
        <f t="array" ref="F48:G197">_xlfn.SORTBY(_xlfn.HSTACK(_xlfn.ANCHORARRAY(D48),_xlfn.ANCHORARRAY(C48)),_xlfn.ANCHORARRAY(C48))</f>
        <v>C15</v>
      </c>
      <c r="G48" s="3">
        <v>999991</v>
      </c>
      <c r="I48" s="3" cm="1">
        <f t="array" ref="I48:J71">_xlfn.GROUPBY(_xlfn.ANCHORARRAY(C48),_xlfn.ANCHORARRAY(D48),_xlfn.LAMBDA(_xlpm.a,_xlfn.TEXTJOIN("|",,_xlpm.a)),0,0)</f>
        <v>999991</v>
      </c>
      <c r="J48" s="3" t="str">
        <v>C15</v>
      </c>
      <c r="N48" s="3" cm="1">
        <f t="array" ref="N48:N197">_xlfn.TOCOL(_xlfn.ANCHORARRAY(T22))</f>
        <v>2</v>
      </c>
      <c r="O48" s="3" cm="1">
        <f t="array" ref="O48:P71">_xlfn.GROUPBY(_xlfn.ANCHORARRAY(N48),_xlfn.ANCHORARRAY(D48),_xlfn.LAMBDA(_xlpm.a,_xlfn.TEXTJOIN("|",,_xlpm.a)),0,0)</f>
        <v>2</v>
      </c>
      <c r="P48" s="3" t="str">
        <v>C6</v>
      </c>
      <c r="U48" s="3" t="str">
        <v>C7|D6</v>
      </c>
    </row>
    <row r="49" spans="3:21">
      <c r="C49" s="3">
        <v>1000001</v>
      </c>
      <c r="D49" s="3" t="str">
        <v>D6</v>
      </c>
      <c r="F49" s="3" t="str">
        <v>C14</v>
      </c>
      <c r="G49" s="3">
        <v>999992</v>
      </c>
      <c r="I49" s="3">
        <v>999992</v>
      </c>
      <c r="J49" s="3" t="str">
        <v>C14|D15</v>
      </c>
      <c r="N49" s="3">
        <v>3</v>
      </c>
      <c r="O49" s="3">
        <v>3</v>
      </c>
      <c r="P49" s="3" t="str">
        <v>D6|C7</v>
      </c>
      <c r="U49" s="3" t="str">
        <v>C8|D7|E6</v>
      </c>
    </row>
    <row r="50" spans="3:21">
      <c r="C50" s="3">
        <v>1000002</v>
      </c>
      <c r="D50" s="3" t="str">
        <v>E6</v>
      </c>
      <c r="F50" s="3" t="str">
        <v>D15</v>
      </c>
      <c r="G50" s="3">
        <v>999992</v>
      </c>
      <c r="I50" s="3">
        <v>999993</v>
      </c>
      <c r="J50" s="3" t="str">
        <v>C13|D14|E15</v>
      </c>
      <c r="N50" s="3">
        <v>4</v>
      </c>
      <c r="O50" s="3">
        <v>4</v>
      </c>
      <c r="P50" s="3" t="str">
        <v>E6|D7|C8</v>
      </c>
      <c r="U50" s="3" t="str">
        <v>C9|D8|E7|F6</v>
      </c>
    </row>
    <row r="51" spans="3:21">
      <c r="C51" s="3">
        <v>1000003</v>
      </c>
      <c r="D51" s="3" t="str">
        <v>F6</v>
      </c>
      <c r="F51" s="3" t="str">
        <v>C13</v>
      </c>
      <c r="G51" s="3">
        <v>999993</v>
      </c>
      <c r="I51" s="3">
        <v>999994</v>
      </c>
      <c r="J51" s="3" t="str">
        <v>C12|D13|E14|F15</v>
      </c>
      <c r="N51" s="3">
        <v>5</v>
      </c>
      <c r="O51" s="3">
        <v>5</v>
      </c>
      <c r="P51" s="3" t="str">
        <v>F6|E7|D8|C9</v>
      </c>
      <c r="U51" s="3" t="str">
        <v>C10|D9|E8|F7|G6</v>
      </c>
    </row>
    <row r="52" spans="3:21">
      <c r="C52" s="3">
        <v>1000004</v>
      </c>
      <c r="D52" s="3" t="str">
        <v>G6</v>
      </c>
      <c r="F52" s="3" t="str">
        <v>D14</v>
      </c>
      <c r="G52" s="3">
        <v>999993</v>
      </c>
      <c r="I52" s="3">
        <v>999995</v>
      </c>
      <c r="J52" s="3" t="str">
        <v>C11|D12|E13|F14|G15</v>
      </c>
      <c r="N52" s="3">
        <v>6</v>
      </c>
      <c r="O52" s="3">
        <v>6</v>
      </c>
      <c r="P52" s="3" t="str">
        <v>G6|F7|E8|D9|C10</v>
      </c>
      <c r="U52" s="3" t="str">
        <v>C11|D10|E9|F8|G7|H6</v>
      </c>
    </row>
    <row r="53" spans="3:21">
      <c r="C53" s="3">
        <v>1000005</v>
      </c>
      <c r="D53" s="3" t="str">
        <v>H6</v>
      </c>
      <c r="F53" s="3" t="str">
        <v>E15</v>
      </c>
      <c r="G53" s="3">
        <v>999993</v>
      </c>
      <c r="I53" s="3">
        <v>999996</v>
      </c>
      <c r="J53" s="3" t="str">
        <v>C10|D11|E12|F13|G14|H15</v>
      </c>
      <c r="N53" s="3">
        <v>7</v>
      </c>
      <c r="O53" s="3">
        <v>7</v>
      </c>
      <c r="P53" s="3" t="str">
        <v>H6|G7|F8|E9|D10|C11</v>
      </c>
      <c r="U53" s="3" t="str">
        <v>C12|D11|E10|F9|G8|H7|I6</v>
      </c>
    </row>
    <row r="54" spans="3:21">
      <c r="C54" s="3">
        <v>1000006</v>
      </c>
      <c r="D54" s="3" t="str">
        <v>I6</v>
      </c>
      <c r="F54" s="3" t="str">
        <v>C12</v>
      </c>
      <c r="G54" s="3">
        <v>999994</v>
      </c>
      <c r="I54" s="3">
        <v>999997</v>
      </c>
      <c r="J54" s="3" t="str">
        <v>C9|D10|E11|F12|G13|H14|I15</v>
      </c>
      <c r="N54" s="3">
        <v>8</v>
      </c>
      <c r="O54" s="3">
        <v>8</v>
      </c>
      <c r="P54" s="3" t="str">
        <v>I6|H7|G8|F9|E10|D11|C12</v>
      </c>
      <c r="U54" s="3" t="str">
        <v>C13|D12|E11|F10|G9|H8|I7|J6</v>
      </c>
    </row>
    <row r="55" spans="3:21">
      <c r="C55" s="3">
        <v>1000007</v>
      </c>
      <c r="D55" s="3" t="str">
        <v>J6</v>
      </c>
      <c r="F55" s="3" t="str">
        <v>D13</v>
      </c>
      <c r="G55" s="3">
        <v>999994</v>
      </c>
      <c r="I55" s="3">
        <v>999998</v>
      </c>
      <c r="J55" s="3" t="str">
        <v>C8|D9|E10|F11|G12|H13|I14|J15</v>
      </c>
      <c r="N55" s="3">
        <v>9</v>
      </c>
      <c r="O55" s="3">
        <v>9</v>
      </c>
      <c r="P55" s="3" t="str">
        <v>J6|I7|H8|G9|F10|E11|D12|C13</v>
      </c>
      <c r="U55" s="3" t="str">
        <v>C14|D13|E12|F11|G10|H9|I8|J7|K6</v>
      </c>
    </row>
    <row r="56" spans="3:21">
      <c r="C56" s="3">
        <v>1000008</v>
      </c>
      <c r="D56" s="3" t="str">
        <v>K6</v>
      </c>
      <c r="F56" s="3" t="str">
        <v>E14</v>
      </c>
      <c r="G56" s="3">
        <v>999994</v>
      </c>
      <c r="I56" s="3">
        <v>999999</v>
      </c>
      <c r="J56" s="3" t="str">
        <v>C7|D8|E9|F10|G11|H12|I13|J14|K15</v>
      </c>
      <c r="N56" s="3">
        <v>10</v>
      </c>
      <c r="O56" s="3">
        <v>10</v>
      </c>
      <c r="P56" s="3" t="str">
        <v>K6|J7|I8|H9|G10|F11|E12|D13|C14</v>
      </c>
      <c r="U56" s="3" t="str">
        <v>C15|D14|E13|F12|G11|H10|I9|J8|K7|L6</v>
      </c>
    </row>
    <row r="57" spans="3:21">
      <c r="C57" s="3">
        <v>1000009</v>
      </c>
      <c r="D57" s="3" t="str">
        <v>L6</v>
      </c>
      <c r="F57" s="3" t="str">
        <v>F15</v>
      </c>
      <c r="G57" s="3">
        <v>999994</v>
      </c>
      <c r="I57" s="3">
        <v>1000000</v>
      </c>
      <c r="J57" s="3" t="str">
        <v>C6|D7|E8|F9|G10|H11|I12|J13|K14|L15</v>
      </c>
      <c r="N57" s="3">
        <v>11</v>
      </c>
      <c r="O57" s="3">
        <v>11</v>
      </c>
      <c r="P57" s="3" t="str">
        <v>L6|K7|J8|I9|H10|G11|F12|E13|D14|C15</v>
      </c>
      <c r="U57" s="3" t="str">
        <v>D15|E14|F13|G12|H11|I10|J9|K8|L7|M6</v>
      </c>
    </row>
    <row r="58" spans="3:21">
      <c r="C58" s="3">
        <v>1000010</v>
      </c>
      <c r="D58" s="3" t="str">
        <v>M6</v>
      </c>
      <c r="F58" s="3" t="str">
        <v>C11</v>
      </c>
      <c r="G58" s="3">
        <v>999995</v>
      </c>
      <c r="I58" s="3">
        <v>1000001</v>
      </c>
      <c r="J58" s="3" t="str">
        <v>D6|E7|F8|G9|H10|I11|J12|K13|L14|M15</v>
      </c>
      <c r="N58" s="3">
        <v>12</v>
      </c>
      <c r="O58" s="3">
        <v>12</v>
      </c>
      <c r="P58" s="3" t="str">
        <v>M6|L7|K8|J9|I10|H11|G12|F13|E14|D15</v>
      </c>
      <c r="U58" s="3" t="str">
        <v>E15|F14|G13|H12|I11|J10|K9|L8|M7|N6</v>
      </c>
    </row>
    <row r="59" spans="3:21">
      <c r="C59" s="3">
        <v>1000011</v>
      </c>
      <c r="D59" s="3" t="str">
        <v>N6</v>
      </c>
      <c r="F59" s="3" t="str">
        <v>D12</v>
      </c>
      <c r="G59" s="3">
        <v>999995</v>
      </c>
      <c r="I59" s="3">
        <v>1000002</v>
      </c>
      <c r="J59" s="3" t="str">
        <v>E6|F7|G8|H9|I10|J11|K12|L13|M14|N15</v>
      </c>
      <c r="N59" s="3">
        <v>13</v>
      </c>
      <c r="O59" s="3">
        <v>13</v>
      </c>
      <c r="P59" s="3" t="str">
        <v>N6|M7|L8|K9|J10|I11|H12|G13|F14|E15</v>
      </c>
      <c r="U59" s="3" t="str">
        <v>F15|G14|H13|I12|J11|K10|L9|M8|N7|O6</v>
      </c>
    </row>
    <row r="60" spans="3:21">
      <c r="C60" s="3">
        <v>1000012</v>
      </c>
      <c r="D60" s="3" t="str">
        <v>O6</v>
      </c>
      <c r="F60" s="3" t="str">
        <v>E13</v>
      </c>
      <c r="G60" s="3">
        <v>999995</v>
      </c>
      <c r="I60" s="3">
        <v>1000003</v>
      </c>
      <c r="J60" s="3" t="str">
        <v>F6|G7|H8|I9|J10|K11|L12|M13|N14|O15</v>
      </c>
      <c r="N60" s="3">
        <v>14</v>
      </c>
      <c r="O60" s="3">
        <v>14</v>
      </c>
      <c r="P60" s="3" t="str">
        <v>O6|N7|M8|L9|K10|J11|I12|H13|G14|F15</v>
      </c>
      <c r="U60" s="3" t="str">
        <v>G15|H14|I13|J12|K11|L10|M9|N8|O7|P6</v>
      </c>
    </row>
    <row r="61" spans="3:21">
      <c r="C61" s="3">
        <v>1000013</v>
      </c>
      <c r="D61" s="3" t="str">
        <v>P6</v>
      </c>
      <c r="F61" s="3" t="str">
        <v>F14</v>
      </c>
      <c r="G61" s="3">
        <v>999995</v>
      </c>
      <c r="I61" s="3">
        <v>1000004</v>
      </c>
      <c r="J61" s="3" t="str">
        <v>G6|H7|I8|J9|K10|L11|M12|N13|O14|P15</v>
      </c>
      <c r="N61" s="3">
        <v>15</v>
      </c>
      <c r="O61" s="3">
        <v>15</v>
      </c>
      <c r="P61" s="3" t="str">
        <v>P6|O7|N8|M9|L10|K11|J12|I13|H14|G15</v>
      </c>
      <c r="U61" s="3" t="str">
        <v>H15|I14|J13|K12|L11|M10|N9|O8|P7|Q6</v>
      </c>
    </row>
    <row r="62" spans="3:21">
      <c r="C62" s="3">
        <v>1000014</v>
      </c>
      <c r="D62" s="3" t="str">
        <v>Q6</v>
      </c>
      <c r="F62" s="3" t="str">
        <v>G15</v>
      </c>
      <c r="G62" s="3">
        <v>999995</v>
      </c>
      <c r="I62" s="3">
        <v>1000005</v>
      </c>
      <c r="J62" s="3" t="str">
        <v>H6|I7|J8|K9|L10|M11|N12|O13|P14|Q15</v>
      </c>
      <c r="N62" s="3">
        <v>16</v>
      </c>
      <c r="O62" s="3">
        <v>16</v>
      </c>
      <c r="P62" s="3" t="str">
        <v>Q6|P7|O8|N9|M10|L11|K12|J13|I14|H15</v>
      </c>
      <c r="U62" s="3" t="str">
        <v>I15|J14|K13|L12|M11|N10|O9|P8|Q7</v>
      </c>
    </row>
    <row r="63" spans="3:21">
      <c r="C63" s="3">
        <v>999999</v>
      </c>
      <c r="D63" s="3" t="str">
        <v>C7</v>
      </c>
      <c r="F63" s="3" t="str">
        <v>C10</v>
      </c>
      <c r="G63" s="3">
        <v>999996</v>
      </c>
      <c r="I63" s="3">
        <v>1000006</v>
      </c>
      <c r="J63" s="3" t="str">
        <v>I6|J7|K8|L9|M10|N11|O12|P13|Q14</v>
      </c>
      <c r="N63" s="3">
        <v>3</v>
      </c>
      <c r="O63" s="3">
        <v>17</v>
      </c>
      <c r="P63" s="3" t="str">
        <v>Q7|P8|O9|N10|M11|L12|K13|J14|I15</v>
      </c>
      <c r="U63" s="3" t="str">
        <v>J15|K14|L13|M12|N11|O10|P9|Q8</v>
      </c>
    </row>
    <row r="64" spans="3:21">
      <c r="C64" s="3">
        <v>1000000</v>
      </c>
      <c r="D64" s="3" t="str">
        <v>D7</v>
      </c>
      <c r="F64" s="3" t="str">
        <v>D11</v>
      </c>
      <c r="G64" s="3">
        <v>999996</v>
      </c>
      <c r="I64" s="3">
        <v>1000007</v>
      </c>
      <c r="J64" s="3" t="str">
        <v>J6|K7|L8|M9|N10|O11|P12|Q13</v>
      </c>
      <c r="N64" s="3">
        <v>4</v>
      </c>
      <c r="O64" s="3">
        <v>18</v>
      </c>
      <c r="P64" s="3" t="str">
        <v>Q8|P9|O10|N11|M12|L13|K14|J15</v>
      </c>
      <c r="U64" s="3" t="str">
        <v>K15|L14|M13|N12|O11|P10|Q9</v>
      </c>
    </row>
    <row r="65" spans="3:21">
      <c r="C65" s="3">
        <v>1000001</v>
      </c>
      <c r="D65" s="3" t="str">
        <v>E7</v>
      </c>
      <c r="F65" s="3" t="str">
        <v>E12</v>
      </c>
      <c r="G65" s="3">
        <v>999996</v>
      </c>
      <c r="I65" s="3">
        <v>1000008</v>
      </c>
      <c r="J65" s="3" t="str">
        <v>K6|L7|M8|N9|O10|P11|Q12</v>
      </c>
      <c r="N65" s="3">
        <v>5</v>
      </c>
      <c r="O65" s="3">
        <v>19</v>
      </c>
      <c r="P65" s="3" t="str">
        <v>Q9|P10|O11|N12|M13|L14|K15</v>
      </c>
      <c r="U65" s="3" t="str">
        <v>L15|M14|N13|O12|P11|Q10</v>
      </c>
    </row>
    <row r="66" spans="3:21">
      <c r="C66" s="3">
        <v>1000002</v>
      </c>
      <c r="D66" s="3" t="str">
        <v>F7</v>
      </c>
      <c r="F66" s="3" t="str">
        <v>F13</v>
      </c>
      <c r="G66" s="3">
        <v>999996</v>
      </c>
      <c r="I66" s="3">
        <v>1000009</v>
      </c>
      <c r="J66" s="3" t="str">
        <v>L6|M7|N8|O9|P10|Q11</v>
      </c>
      <c r="N66" s="3">
        <v>6</v>
      </c>
      <c r="O66" s="3">
        <v>20</v>
      </c>
      <c r="P66" s="3" t="str">
        <v>Q10|P11|O12|N13|M14|L15</v>
      </c>
      <c r="U66" s="3" t="str">
        <v>M15|N14|O13|P12|Q11</v>
      </c>
    </row>
    <row r="67" spans="3:21">
      <c r="C67" s="3">
        <v>1000003</v>
      </c>
      <c r="D67" s="3" t="str">
        <v>G7</v>
      </c>
      <c r="F67" s="3" t="str">
        <v>G14</v>
      </c>
      <c r="G67" s="3">
        <v>999996</v>
      </c>
      <c r="I67" s="3">
        <v>1000010</v>
      </c>
      <c r="J67" s="3" t="str">
        <v>M6|N7|O8|P9|Q10</v>
      </c>
      <c r="N67" s="3">
        <v>7</v>
      </c>
      <c r="O67" s="3">
        <v>21</v>
      </c>
      <c r="P67" s="3" t="str">
        <v>Q11|P12|O13|N14|M15</v>
      </c>
      <c r="U67" s="3" t="str">
        <v>N15|O14|P13|Q12</v>
      </c>
    </row>
    <row r="68" spans="3:21">
      <c r="C68" s="3">
        <v>1000004</v>
      </c>
      <c r="D68" s="3" t="str">
        <v>H7</v>
      </c>
      <c r="F68" s="3" t="str">
        <v>H15</v>
      </c>
      <c r="G68" s="3">
        <v>999996</v>
      </c>
      <c r="I68" s="3">
        <v>1000011</v>
      </c>
      <c r="J68" s="3" t="str">
        <v>N6|O7|P8|Q9</v>
      </c>
      <c r="N68" s="3">
        <v>8</v>
      </c>
      <c r="O68" s="3">
        <v>22</v>
      </c>
      <c r="P68" s="3" t="str">
        <v>Q12|P13|O14|N15</v>
      </c>
      <c r="U68" s="3" t="str">
        <v>O15|P14|Q13</v>
      </c>
    </row>
    <row r="69" spans="3:21">
      <c r="C69" s="3">
        <v>1000005</v>
      </c>
      <c r="D69" s="3" t="str">
        <v>I7</v>
      </c>
      <c r="F69" s="3" t="str">
        <v>C9</v>
      </c>
      <c r="G69" s="3">
        <v>999997</v>
      </c>
      <c r="I69" s="3">
        <v>1000012</v>
      </c>
      <c r="J69" s="3" t="str">
        <v>O6|P7|Q8</v>
      </c>
      <c r="N69" s="3">
        <v>9</v>
      </c>
      <c r="O69" s="3">
        <v>23</v>
      </c>
      <c r="P69" s="3" t="str">
        <v>Q13|P14|O15</v>
      </c>
      <c r="U69" s="3" t="str">
        <v>P15|Q14</v>
      </c>
    </row>
    <row r="70" spans="3:21">
      <c r="C70" s="3">
        <v>1000006</v>
      </c>
      <c r="D70" s="3" t="str">
        <v>J7</v>
      </c>
      <c r="F70" s="3" t="str">
        <v>D10</v>
      </c>
      <c r="G70" s="3">
        <v>999997</v>
      </c>
      <c r="I70" s="3">
        <v>1000013</v>
      </c>
      <c r="J70" s="3" t="str">
        <v>P6|Q7</v>
      </c>
      <c r="N70" s="3">
        <v>10</v>
      </c>
      <c r="O70" s="3">
        <v>24</v>
      </c>
      <c r="P70" s="3" t="str">
        <v>Q14|P15</v>
      </c>
      <c r="U70" s="3" t="str">
        <v>Q15</v>
      </c>
    </row>
    <row r="71" spans="3:21">
      <c r="C71" s="3">
        <v>1000007</v>
      </c>
      <c r="D71" s="3" t="str">
        <v>K7</v>
      </c>
      <c r="F71" s="3" t="str">
        <v>E11</v>
      </c>
      <c r="G71" s="3">
        <v>999997</v>
      </c>
      <c r="I71" s="3">
        <v>1000014</v>
      </c>
      <c r="J71" s="3" t="str">
        <v>Q6</v>
      </c>
      <c r="N71" s="3">
        <v>11</v>
      </c>
      <c r="O71" s="3">
        <v>25</v>
      </c>
      <c r="P71" s="3" t="str">
        <v>Q15</v>
      </c>
      <c r="U71" s="3" t="str">
        <v>C15</v>
      </c>
    </row>
    <row r="72" spans="3:21">
      <c r="C72" s="3">
        <v>1000008</v>
      </c>
      <c r="D72" s="3" t="str">
        <v>L7</v>
      </c>
      <c r="F72" s="3" t="str">
        <v>F12</v>
      </c>
      <c r="G72" s="3">
        <v>999997</v>
      </c>
      <c r="N72" s="3">
        <v>12</v>
      </c>
      <c r="U72" s="3" t="str">
        <v>C14|D15</v>
      </c>
    </row>
    <row r="73" spans="3:21">
      <c r="C73" s="3">
        <v>1000009</v>
      </c>
      <c r="D73" s="3" t="str">
        <v>M7</v>
      </c>
      <c r="F73" s="3" t="str">
        <v>G13</v>
      </c>
      <c r="G73" s="3">
        <v>999997</v>
      </c>
      <c r="N73" s="3">
        <v>13</v>
      </c>
      <c r="U73" s="3" t="str">
        <v>C13|D14|E15</v>
      </c>
    </row>
    <row r="74" spans="3:21">
      <c r="C74" s="3">
        <v>1000010</v>
      </c>
      <c r="D74" s="3" t="str">
        <v>N7</v>
      </c>
      <c r="F74" s="3" t="str">
        <v>H14</v>
      </c>
      <c r="G74" s="3">
        <v>999997</v>
      </c>
      <c r="N74" s="3">
        <v>14</v>
      </c>
      <c r="U74" s="3" t="str">
        <v>C12|D13|E14|F15</v>
      </c>
    </row>
    <row r="75" spans="3:21">
      <c r="C75" s="3">
        <v>1000011</v>
      </c>
      <c r="D75" s="3" t="str">
        <v>O7</v>
      </c>
      <c r="F75" s="3" t="str">
        <v>I15</v>
      </c>
      <c r="G75" s="3">
        <v>999997</v>
      </c>
      <c r="N75" s="3">
        <v>15</v>
      </c>
      <c r="U75" s="3" t="str">
        <v>C11|D12|E13|F14|G15</v>
      </c>
    </row>
    <row r="76" spans="3:21">
      <c r="C76" s="3">
        <v>1000012</v>
      </c>
      <c r="D76" s="3" t="str">
        <v>P7</v>
      </c>
      <c r="F76" s="3" t="str">
        <v>C8</v>
      </c>
      <c r="G76" s="3">
        <v>999998</v>
      </c>
      <c r="N76" s="3">
        <v>16</v>
      </c>
      <c r="U76" s="3" t="str">
        <v>C10|D11|E12|F13|G14|H15</v>
      </c>
    </row>
    <row r="77" spans="3:21">
      <c r="C77" s="3">
        <v>1000013</v>
      </c>
      <c r="D77" s="3" t="str">
        <v>Q7</v>
      </c>
      <c r="F77" s="3" t="str">
        <v>D9</v>
      </c>
      <c r="G77" s="3">
        <v>999998</v>
      </c>
      <c r="N77" s="3">
        <v>17</v>
      </c>
      <c r="U77" s="3" t="str">
        <v>C9|D10|E11|F12|G13|H14|I15</v>
      </c>
    </row>
    <row r="78" spans="3:21">
      <c r="C78" s="3">
        <v>999998</v>
      </c>
      <c r="D78" s="3" t="str">
        <v>C8</v>
      </c>
      <c r="F78" s="3" t="str">
        <v>E10</v>
      </c>
      <c r="G78" s="3">
        <v>999998</v>
      </c>
      <c r="N78" s="3">
        <v>4</v>
      </c>
      <c r="U78" s="3" t="str">
        <v>C8|D9|E10|F11|G12|H13|I14|J15</v>
      </c>
    </row>
    <row r="79" spans="3:21">
      <c r="C79" s="3">
        <v>999999</v>
      </c>
      <c r="D79" s="3" t="str">
        <v>D8</v>
      </c>
      <c r="F79" s="3" t="str">
        <v>F11</v>
      </c>
      <c r="G79" s="3">
        <v>999998</v>
      </c>
      <c r="N79" s="3">
        <v>5</v>
      </c>
      <c r="U79" s="3" t="str">
        <v>C7|D8|E9|F10|G11|H12|I13|J14|K15</v>
      </c>
    </row>
    <row r="80" spans="3:21">
      <c r="C80" s="3">
        <v>1000000</v>
      </c>
      <c r="D80" s="3" t="str">
        <v>E8</v>
      </c>
      <c r="F80" s="3" t="str">
        <v>G12</v>
      </c>
      <c r="G80" s="3">
        <v>999998</v>
      </c>
      <c r="N80" s="3">
        <v>6</v>
      </c>
      <c r="U80" s="3" t="str">
        <v>C6|D7|E8|F9|G10|H11|I12|J13|K14|L15</v>
      </c>
    </row>
    <row r="81" spans="3:21">
      <c r="C81" s="3">
        <v>1000001</v>
      </c>
      <c r="D81" s="3" t="str">
        <v>F8</v>
      </c>
      <c r="F81" s="3" t="str">
        <v>H13</v>
      </c>
      <c r="G81" s="3">
        <v>999998</v>
      </c>
      <c r="N81" s="3">
        <v>7</v>
      </c>
      <c r="U81" s="3" t="str">
        <v>C6|D7|E8|F9|G10|H11|I12|J13|K14|L15</v>
      </c>
    </row>
    <row r="82" spans="3:21">
      <c r="C82" s="3">
        <v>1000002</v>
      </c>
      <c r="D82" s="3" t="str">
        <v>G8</v>
      </c>
      <c r="F82" s="3" t="str">
        <v>I14</v>
      </c>
      <c r="G82" s="3">
        <v>999998</v>
      </c>
      <c r="N82" s="3">
        <v>8</v>
      </c>
      <c r="U82" s="3" t="str">
        <v>C6|D7|E8|F9|G10|H11|I12|J13|K14|L15</v>
      </c>
    </row>
    <row r="83" spans="3:21">
      <c r="C83" s="3">
        <v>1000003</v>
      </c>
      <c r="D83" s="3" t="str">
        <v>H8</v>
      </c>
      <c r="F83" s="3" t="str">
        <v>J15</v>
      </c>
      <c r="G83" s="3">
        <v>999998</v>
      </c>
      <c r="N83" s="3">
        <v>9</v>
      </c>
      <c r="U83" s="3" t="str">
        <v>D6|E7|F8|G9|H10|I11|J12|K13|L14|M15</v>
      </c>
    </row>
    <row r="84" spans="3:21">
      <c r="C84" s="3">
        <v>1000004</v>
      </c>
      <c r="D84" s="3" t="str">
        <v>I8</v>
      </c>
      <c r="F84" s="3" t="str">
        <v>C7</v>
      </c>
      <c r="G84" s="3">
        <v>999999</v>
      </c>
      <c r="N84" s="3">
        <v>10</v>
      </c>
      <c r="U84" s="3" t="str">
        <v>E6|F7|G8|H9|I10|J11|K12|L13|M14|N15</v>
      </c>
    </row>
    <row r="85" spans="3:21">
      <c r="C85" s="3">
        <v>1000005</v>
      </c>
      <c r="D85" s="3" t="str">
        <v>J8</v>
      </c>
      <c r="F85" s="3" t="str">
        <v>D8</v>
      </c>
      <c r="G85" s="3">
        <v>999999</v>
      </c>
      <c r="N85" s="3">
        <v>11</v>
      </c>
      <c r="U85" s="3" t="str">
        <v>F6|G7|H8|I9|J10|K11|L12|M13|N14|O15</v>
      </c>
    </row>
    <row r="86" spans="3:21">
      <c r="C86" s="3">
        <v>1000006</v>
      </c>
      <c r="D86" s="3" t="str">
        <v>K8</v>
      </c>
      <c r="F86" s="3" t="str">
        <v>E9</v>
      </c>
      <c r="G86" s="3">
        <v>999999</v>
      </c>
      <c r="N86" s="3">
        <v>12</v>
      </c>
      <c r="U86" s="3" t="str">
        <v>G6|H7|I8|J9|K10|L11|M12|N13|O14|P15</v>
      </c>
    </row>
    <row r="87" spans="3:21">
      <c r="C87" s="3">
        <v>1000007</v>
      </c>
      <c r="D87" s="3" t="str">
        <v>L8</v>
      </c>
      <c r="F87" s="3" t="str">
        <v>F10</v>
      </c>
      <c r="G87" s="3">
        <v>999999</v>
      </c>
      <c r="N87" s="3">
        <v>13</v>
      </c>
      <c r="U87" s="3" t="str">
        <v>H6|I7|J8|K9|L10|M11|N12|O13|P14|Q15</v>
      </c>
    </row>
    <row r="88" spans="3:21">
      <c r="C88" s="3">
        <v>1000008</v>
      </c>
      <c r="D88" s="3" t="str">
        <v>M8</v>
      </c>
      <c r="F88" s="3" t="str">
        <v>G11</v>
      </c>
      <c r="G88" s="3">
        <v>999999</v>
      </c>
      <c r="N88" s="3">
        <v>14</v>
      </c>
      <c r="U88" s="3" t="str">
        <v>I6|J7|K8|L9|M10|N11|O12|P13|Q14</v>
      </c>
    </row>
    <row r="89" spans="3:21">
      <c r="C89" s="3">
        <v>1000009</v>
      </c>
      <c r="D89" s="3" t="str">
        <v>N8</v>
      </c>
      <c r="F89" s="3" t="str">
        <v>H12</v>
      </c>
      <c r="G89" s="3">
        <v>999999</v>
      </c>
      <c r="N89" s="3">
        <v>15</v>
      </c>
      <c r="U89" s="3" t="str">
        <v>J6|K7|L8|M9|N10|O11|P12|Q13</v>
      </c>
    </row>
    <row r="90" spans="3:21">
      <c r="C90" s="3">
        <v>1000010</v>
      </c>
      <c r="D90" s="3" t="str">
        <v>O8</v>
      </c>
      <c r="F90" s="3" t="str">
        <v>I13</v>
      </c>
      <c r="G90" s="3">
        <v>999999</v>
      </c>
      <c r="N90" s="3">
        <v>16</v>
      </c>
      <c r="U90" s="3" t="str">
        <v>K6|L7|M8|N9|O10|P11|Q12</v>
      </c>
    </row>
    <row r="91" spans="3:21">
      <c r="C91" s="3">
        <v>1000011</v>
      </c>
      <c r="D91" s="3" t="str">
        <v>P8</v>
      </c>
      <c r="F91" s="3" t="str">
        <v>J14</v>
      </c>
      <c r="G91" s="3">
        <v>999999</v>
      </c>
      <c r="N91" s="3">
        <v>17</v>
      </c>
      <c r="U91" s="3" t="str">
        <v>L6|M7|N8|O9|P10|Q11</v>
      </c>
    </row>
    <row r="92" spans="3:21">
      <c r="C92" s="3">
        <v>1000012</v>
      </c>
      <c r="D92" s="3" t="str">
        <v>Q8</v>
      </c>
      <c r="F92" s="3" t="str">
        <v>K15</v>
      </c>
      <c r="G92" s="3">
        <v>999999</v>
      </c>
      <c r="N92" s="3">
        <v>18</v>
      </c>
      <c r="U92" s="3" t="str">
        <v>M6|N7|O8|P9|Q10</v>
      </c>
    </row>
    <row r="93" spans="3:21">
      <c r="C93" s="3">
        <v>999997</v>
      </c>
      <c r="D93" s="3" t="str">
        <v>C9</v>
      </c>
      <c r="F93" s="3" t="str">
        <v>C6</v>
      </c>
      <c r="G93" s="3">
        <v>1000000</v>
      </c>
      <c r="N93" s="3">
        <v>5</v>
      </c>
      <c r="U93" s="3" t="str">
        <v>N6|O7|P8|Q9</v>
      </c>
    </row>
    <row r="94" spans="3:21">
      <c r="C94" s="3">
        <v>999998</v>
      </c>
      <c r="D94" s="3" t="str">
        <v>D9</v>
      </c>
      <c r="F94" s="3" t="str">
        <v>D7</v>
      </c>
      <c r="G94" s="3">
        <v>1000000</v>
      </c>
      <c r="N94" s="3">
        <v>6</v>
      </c>
      <c r="U94" s="3" t="str">
        <v>O6|P7|Q8</v>
      </c>
    </row>
    <row r="95" spans="3:21">
      <c r="C95" s="3">
        <v>999999</v>
      </c>
      <c r="D95" s="3" t="str">
        <v>E9</v>
      </c>
      <c r="F95" s="3" t="str">
        <v>E8</v>
      </c>
      <c r="G95" s="3">
        <v>1000000</v>
      </c>
      <c r="N95" s="3">
        <v>7</v>
      </c>
    </row>
    <row r="96" spans="3:21">
      <c r="C96" s="3">
        <v>1000000</v>
      </c>
      <c r="D96" s="3" t="str">
        <v>F9</v>
      </c>
      <c r="F96" s="3" t="str">
        <v>F9</v>
      </c>
      <c r="G96" s="3">
        <v>1000000</v>
      </c>
      <c r="N96" s="3">
        <v>8</v>
      </c>
    </row>
    <row r="97" spans="3:14">
      <c r="C97" s="3">
        <v>1000001</v>
      </c>
      <c r="D97" s="3" t="str">
        <v>G9</v>
      </c>
      <c r="F97" s="3" t="str">
        <v>G10</v>
      </c>
      <c r="G97" s="3">
        <v>1000000</v>
      </c>
      <c r="N97" s="3">
        <v>9</v>
      </c>
    </row>
    <row r="98" spans="3:14">
      <c r="C98" s="3">
        <v>1000002</v>
      </c>
      <c r="D98" s="3" t="str">
        <v>H9</v>
      </c>
      <c r="F98" s="3" t="str">
        <v>H11</v>
      </c>
      <c r="G98" s="3">
        <v>1000000</v>
      </c>
      <c r="N98" s="3">
        <v>10</v>
      </c>
    </row>
    <row r="99" spans="3:14">
      <c r="C99" s="3">
        <v>1000003</v>
      </c>
      <c r="D99" s="3" t="str">
        <v>I9</v>
      </c>
      <c r="F99" s="3" t="str">
        <v>I12</v>
      </c>
      <c r="G99" s="3">
        <v>1000000</v>
      </c>
      <c r="N99" s="3">
        <v>11</v>
      </c>
    </row>
    <row r="100" spans="3:14">
      <c r="C100" s="3">
        <v>1000004</v>
      </c>
      <c r="D100" s="3" t="str">
        <v>J9</v>
      </c>
      <c r="F100" s="3" t="str">
        <v>J13</v>
      </c>
      <c r="G100" s="3">
        <v>1000000</v>
      </c>
      <c r="N100" s="3">
        <v>12</v>
      </c>
    </row>
    <row r="101" spans="3:14">
      <c r="C101" s="3">
        <v>1000005</v>
      </c>
      <c r="D101" s="3" t="str">
        <v>K9</v>
      </c>
      <c r="F101" s="3" t="str">
        <v>K14</v>
      </c>
      <c r="G101" s="3">
        <v>1000000</v>
      </c>
      <c r="N101" s="3">
        <v>13</v>
      </c>
    </row>
    <row r="102" spans="3:14">
      <c r="C102" s="3">
        <v>1000006</v>
      </c>
      <c r="D102" s="3" t="str">
        <v>L9</v>
      </c>
      <c r="F102" s="3" t="str">
        <v>L15</v>
      </c>
      <c r="G102" s="3">
        <v>1000000</v>
      </c>
      <c r="N102" s="3">
        <v>14</v>
      </c>
    </row>
    <row r="103" spans="3:14">
      <c r="C103" s="3">
        <v>1000007</v>
      </c>
      <c r="D103" s="3" t="str">
        <v>M9</v>
      </c>
      <c r="F103" s="3" t="str">
        <v>D6</v>
      </c>
      <c r="G103" s="3">
        <v>1000001</v>
      </c>
      <c r="N103" s="3">
        <v>15</v>
      </c>
    </row>
    <row r="104" spans="3:14">
      <c r="C104" s="3">
        <v>1000008</v>
      </c>
      <c r="D104" s="3" t="str">
        <v>N9</v>
      </c>
      <c r="F104" s="3" t="str">
        <v>E7</v>
      </c>
      <c r="G104" s="3">
        <v>1000001</v>
      </c>
      <c r="N104" s="3">
        <v>16</v>
      </c>
    </row>
    <row r="105" spans="3:14">
      <c r="C105" s="3">
        <v>1000009</v>
      </c>
      <c r="D105" s="3" t="str">
        <v>O9</v>
      </c>
      <c r="F105" s="3" t="str">
        <v>F8</v>
      </c>
      <c r="G105" s="3">
        <v>1000001</v>
      </c>
      <c r="N105" s="3">
        <v>17</v>
      </c>
    </row>
    <row r="106" spans="3:14">
      <c r="C106" s="3">
        <v>1000010</v>
      </c>
      <c r="D106" s="3" t="str">
        <v>P9</v>
      </c>
      <c r="F106" s="3" t="str">
        <v>G9</v>
      </c>
      <c r="G106" s="3">
        <v>1000001</v>
      </c>
      <c r="N106" s="3">
        <v>18</v>
      </c>
    </row>
    <row r="107" spans="3:14">
      <c r="C107" s="3">
        <v>1000011</v>
      </c>
      <c r="D107" s="3" t="str">
        <v>Q9</v>
      </c>
      <c r="F107" s="3" t="str">
        <v>H10</v>
      </c>
      <c r="G107" s="3">
        <v>1000001</v>
      </c>
      <c r="N107" s="3">
        <v>19</v>
      </c>
    </row>
    <row r="108" spans="3:14">
      <c r="C108" s="3">
        <v>999996</v>
      </c>
      <c r="D108" s="3" t="str">
        <v>C10</v>
      </c>
      <c r="F108" s="3" t="str">
        <v>I11</v>
      </c>
      <c r="G108" s="3">
        <v>1000001</v>
      </c>
      <c r="N108" s="3">
        <v>6</v>
      </c>
    </row>
    <row r="109" spans="3:14">
      <c r="C109" s="3">
        <v>999997</v>
      </c>
      <c r="D109" s="3" t="str">
        <v>D10</v>
      </c>
      <c r="F109" s="3" t="str">
        <v>J12</v>
      </c>
      <c r="G109" s="3">
        <v>1000001</v>
      </c>
      <c r="N109" s="3">
        <v>7</v>
      </c>
    </row>
    <row r="110" spans="3:14">
      <c r="C110" s="3">
        <v>999998</v>
      </c>
      <c r="D110" s="3" t="str">
        <v>E10</v>
      </c>
      <c r="F110" s="3" t="str">
        <v>K13</v>
      </c>
      <c r="G110" s="3">
        <v>1000001</v>
      </c>
      <c r="N110" s="3">
        <v>8</v>
      </c>
    </row>
    <row r="111" spans="3:14">
      <c r="C111" s="3">
        <v>999999</v>
      </c>
      <c r="D111" s="3" t="str">
        <v>F10</v>
      </c>
      <c r="F111" s="3" t="str">
        <v>L14</v>
      </c>
      <c r="G111" s="3">
        <v>1000001</v>
      </c>
      <c r="N111" s="3">
        <v>9</v>
      </c>
    </row>
    <row r="112" spans="3:14">
      <c r="C112" s="3">
        <v>1000000</v>
      </c>
      <c r="D112" s="3" t="str">
        <v>G10</v>
      </c>
      <c r="F112" s="3" t="str">
        <v>M15</v>
      </c>
      <c r="G112" s="3">
        <v>1000001</v>
      </c>
      <c r="N112" s="3">
        <v>10</v>
      </c>
    </row>
    <row r="113" spans="3:14">
      <c r="C113" s="3">
        <v>1000001</v>
      </c>
      <c r="D113" s="3" t="str">
        <v>H10</v>
      </c>
      <c r="F113" s="3" t="str">
        <v>E6</v>
      </c>
      <c r="G113" s="3">
        <v>1000002</v>
      </c>
      <c r="N113" s="3">
        <v>11</v>
      </c>
    </row>
    <row r="114" spans="3:14">
      <c r="C114" s="3">
        <v>1000002</v>
      </c>
      <c r="D114" s="3" t="str">
        <v>I10</v>
      </c>
      <c r="F114" s="3" t="str">
        <v>F7</v>
      </c>
      <c r="G114" s="3">
        <v>1000002</v>
      </c>
      <c r="N114" s="3">
        <v>12</v>
      </c>
    </row>
    <row r="115" spans="3:14">
      <c r="C115" s="3">
        <v>1000003</v>
      </c>
      <c r="D115" s="3" t="str">
        <v>J10</v>
      </c>
      <c r="F115" s="3" t="str">
        <v>G8</v>
      </c>
      <c r="G115" s="3">
        <v>1000002</v>
      </c>
      <c r="N115" s="3">
        <v>13</v>
      </c>
    </row>
    <row r="116" spans="3:14">
      <c r="C116" s="3">
        <v>1000004</v>
      </c>
      <c r="D116" s="3" t="str">
        <v>K10</v>
      </c>
      <c r="F116" s="3" t="str">
        <v>H9</v>
      </c>
      <c r="G116" s="3">
        <v>1000002</v>
      </c>
      <c r="N116" s="3">
        <v>14</v>
      </c>
    </row>
    <row r="117" spans="3:14">
      <c r="C117" s="3">
        <v>1000005</v>
      </c>
      <c r="D117" s="3" t="str">
        <v>L10</v>
      </c>
      <c r="F117" s="3" t="str">
        <v>I10</v>
      </c>
      <c r="G117" s="3">
        <v>1000002</v>
      </c>
      <c r="N117" s="3">
        <v>15</v>
      </c>
    </row>
    <row r="118" spans="3:14">
      <c r="C118" s="3">
        <v>1000006</v>
      </c>
      <c r="D118" s="3" t="str">
        <v>M10</v>
      </c>
      <c r="F118" s="3" t="str">
        <v>J11</v>
      </c>
      <c r="G118" s="3">
        <v>1000002</v>
      </c>
      <c r="N118" s="3">
        <v>16</v>
      </c>
    </row>
    <row r="119" spans="3:14">
      <c r="C119" s="3">
        <v>1000007</v>
      </c>
      <c r="D119" s="3" t="str">
        <v>N10</v>
      </c>
      <c r="F119" s="3" t="str">
        <v>K12</v>
      </c>
      <c r="G119" s="3">
        <v>1000002</v>
      </c>
      <c r="N119" s="3">
        <v>17</v>
      </c>
    </row>
    <row r="120" spans="3:14">
      <c r="C120" s="3">
        <v>1000008</v>
      </c>
      <c r="D120" s="3" t="str">
        <v>O10</v>
      </c>
      <c r="F120" s="3" t="str">
        <v>L13</v>
      </c>
      <c r="G120" s="3">
        <v>1000002</v>
      </c>
      <c r="N120" s="3">
        <v>18</v>
      </c>
    </row>
    <row r="121" spans="3:14">
      <c r="C121" s="3">
        <v>1000009</v>
      </c>
      <c r="D121" s="3" t="str">
        <v>P10</v>
      </c>
      <c r="F121" s="3" t="str">
        <v>M14</v>
      </c>
      <c r="G121" s="3">
        <v>1000002</v>
      </c>
      <c r="N121" s="3">
        <v>19</v>
      </c>
    </row>
    <row r="122" spans="3:14">
      <c r="C122" s="3">
        <v>1000010</v>
      </c>
      <c r="D122" s="3" t="str">
        <v>Q10</v>
      </c>
      <c r="F122" s="3" t="str">
        <v>N15</v>
      </c>
      <c r="G122" s="3">
        <v>1000002</v>
      </c>
      <c r="N122" s="3">
        <v>20</v>
      </c>
    </row>
    <row r="123" spans="3:14">
      <c r="C123" s="3">
        <v>999995</v>
      </c>
      <c r="D123" s="3" t="str">
        <v>C11</v>
      </c>
      <c r="F123" s="3" t="str">
        <v>F6</v>
      </c>
      <c r="G123" s="3">
        <v>1000003</v>
      </c>
      <c r="N123" s="3">
        <v>7</v>
      </c>
    </row>
    <row r="124" spans="3:14">
      <c r="C124" s="3">
        <v>999996</v>
      </c>
      <c r="D124" s="3" t="str">
        <v>D11</v>
      </c>
      <c r="F124" s="3" t="str">
        <v>G7</v>
      </c>
      <c r="G124" s="3">
        <v>1000003</v>
      </c>
      <c r="N124" s="3">
        <v>8</v>
      </c>
    </row>
    <row r="125" spans="3:14">
      <c r="C125" s="3">
        <v>999997</v>
      </c>
      <c r="D125" s="3" t="str">
        <v>E11</v>
      </c>
      <c r="F125" s="3" t="str">
        <v>H8</v>
      </c>
      <c r="G125" s="3">
        <v>1000003</v>
      </c>
      <c r="N125" s="3">
        <v>9</v>
      </c>
    </row>
    <row r="126" spans="3:14">
      <c r="C126" s="3">
        <v>999998</v>
      </c>
      <c r="D126" s="3" t="str">
        <v>F11</v>
      </c>
      <c r="F126" s="3" t="str">
        <v>I9</v>
      </c>
      <c r="G126" s="3">
        <v>1000003</v>
      </c>
      <c r="N126" s="3">
        <v>10</v>
      </c>
    </row>
    <row r="127" spans="3:14">
      <c r="C127" s="3">
        <v>999999</v>
      </c>
      <c r="D127" s="3" t="str">
        <v>G11</v>
      </c>
      <c r="F127" s="3" t="str">
        <v>J10</v>
      </c>
      <c r="G127" s="3">
        <v>1000003</v>
      </c>
      <c r="N127" s="3">
        <v>11</v>
      </c>
    </row>
    <row r="128" spans="3:14">
      <c r="C128" s="3">
        <v>1000000</v>
      </c>
      <c r="D128" s="3" t="str">
        <v>H11</v>
      </c>
      <c r="F128" s="3" t="str">
        <v>K11</v>
      </c>
      <c r="G128" s="3">
        <v>1000003</v>
      </c>
      <c r="N128" s="3">
        <v>12</v>
      </c>
    </row>
    <row r="129" spans="3:14">
      <c r="C129" s="3">
        <v>1000001</v>
      </c>
      <c r="D129" s="3" t="str">
        <v>I11</v>
      </c>
      <c r="F129" s="3" t="str">
        <v>L12</v>
      </c>
      <c r="G129" s="3">
        <v>1000003</v>
      </c>
      <c r="N129" s="3">
        <v>13</v>
      </c>
    </row>
    <row r="130" spans="3:14">
      <c r="C130" s="3">
        <v>1000002</v>
      </c>
      <c r="D130" s="3" t="str">
        <v>J11</v>
      </c>
      <c r="F130" s="3" t="str">
        <v>M13</v>
      </c>
      <c r="G130" s="3">
        <v>1000003</v>
      </c>
      <c r="N130" s="3">
        <v>14</v>
      </c>
    </row>
    <row r="131" spans="3:14">
      <c r="C131" s="3">
        <v>1000003</v>
      </c>
      <c r="D131" s="3" t="str">
        <v>K11</v>
      </c>
      <c r="F131" s="3" t="str">
        <v>N14</v>
      </c>
      <c r="G131" s="3">
        <v>1000003</v>
      </c>
      <c r="N131" s="3">
        <v>15</v>
      </c>
    </row>
    <row r="132" spans="3:14">
      <c r="C132" s="3">
        <v>1000004</v>
      </c>
      <c r="D132" s="3" t="str">
        <v>L11</v>
      </c>
      <c r="F132" s="3" t="str">
        <v>O15</v>
      </c>
      <c r="G132" s="3">
        <v>1000003</v>
      </c>
      <c r="N132" s="3">
        <v>16</v>
      </c>
    </row>
    <row r="133" spans="3:14">
      <c r="C133" s="3">
        <v>1000005</v>
      </c>
      <c r="D133" s="3" t="str">
        <v>M11</v>
      </c>
      <c r="F133" s="3" t="str">
        <v>G6</v>
      </c>
      <c r="G133" s="3">
        <v>1000004</v>
      </c>
      <c r="N133" s="3">
        <v>17</v>
      </c>
    </row>
    <row r="134" spans="3:14">
      <c r="C134" s="3">
        <v>1000006</v>
      </c>
      <c r="D134" s="3" t="str">
        <v>N11</v>
      </c>
      <c r="F134" s="3" t="str">
        <v>H7</v>
      </c>
      <c r="G134" s="3">
        <v>1000004</v>
      </c>
      <c r="N134" s="3">
        <v>18</v>
      </c>
    </row>
    <row r="135" spans="3:14">
      <c r="C135" s="3">
        <v>1000007</v>
      </c>
      <c r="D135" s="3" t="str">
        <v>O11</v>
      </c>
      <c r="F135" s="3" t="str">
        <v>I8</v>
      </c>
      <c r="G135" s="3">
        <v>1000004</v>
      </c>
      <c r="N135" s="3">
        <v>19</v>
      </c>
    </row>
    <row r="136" spans="3:14">
      <c r="C136" s="3">
        <v>1000008</v>
      </c>
      <c r="D136" s="3" t="str">
        <v>P11</v>
      </c>
      <c r="F136" s="3" t="str">
        <v>J9</v>
      </c>
      <c r="G136" s="3">
        <v>1000004</v>
      </c>
      <c r="N136" s="3">
        <v>20</v>
      </c>
    </row>
    <row r="137" spans="3:14">
      <c r="C137" s="3">
        <v>1000009</v>
      </c>
      <c r="D137" s="3" t="str">
        <v>Q11</v>
      </c>
      <c r="F137" s="3" t="str">
        <v>K10</v>
      </c>
      <c r="G137" s="3">
        <v>1000004</v>
      </c>
      <c r="N137" s="3">
        <v>21</v>
      </c>
    </row>
    <row r="138" spans="3:14">
      <c r="C138" s="3">
        <v>999994</v>
      </c>
      <c r="D138" s="3" t="str">
        <v>C12</v>
      </c>
      <c r="F138" s="3" t="str">
        <v>L11</v>
      </c>
      <c r="G138" s="3">
        <v>1000004</v>
      </c>
      <c r="N138" s="3">
        <v>8</v>
      </c>
    </row>
    <row r="139" spans="3:14">
      <c r="C139" s="3">
        <v>999995</v>
      </c>
      <c r="D139" s="3" t="str">
        <v>D12</v>
      </c>
      <c r="F139" s="3" t="str">
        <v>M12</v>
      </c>
      <c r="G139" s="3">
        <v>1000004</v>
      </c>
      <c r="N139" s="3">
        <v>9</v>
      </c>
    </row>
    <row r="140" spans="3:14">
      <c r="C140" s="3">
        <v>999996</v>
      </c>
      <c r="D140" s="3" t="str">
        <v>E12</v>
      </c>
      <c r="F140" s="3" t="str">
        <v>N13</v>
      </c>
      <c r="G140" s="3">
        <v>1000004</v>
      </c>
      <c r="N140" s="3">
        <v>10</v>
      </c>
    </row>
    <row r="141" spans="3:14">
      <c r="C141" s="3">
        <v>999997</v>
      </c>
      <c r="D141" s="3" t="str">
        <v>F12</v>
      </c>
      <c r="F141" s="3" t="str">
        <v>O14</v>
      </c>
      <c r="G141" s="3">
        <v>1000004</v>
      </c>
      <c r="N141" s="3">
        <v>11</v>
      </c>
    </row>
    <row r="142" spans="3:14">
      <c r="C142" s="3">
        <v>999998</v>
      </c>
      <c r="D142" s="3" t="str">
        <v>G12</v>
      </c>
      <c r="F142" s="3" t="str">
        <v>P15</v>
      </c>
      <c r="G142" s="3">
        <v>1000004</v>
      </c>
      <c r="N142" s="3">
        <v>12</v>
      </c>
    </row>
    <row r="143" spans="3:14">
      <c r="C143" s="3">
        <v>999999</v>
      </c>
      <c r="D143" s="3" t="str">
        <v>H12</v>
      </c>
      <c r="F143" s="3" t="str">
        <v>H6</v>
      </c>
      <c r="G143" s="3">
        <v>1000005</v>
      </c>
      <c r="N143" s="3">
        <v>13</v>
      </c>
    </row>
    <row r="144" spans="3:14">
      <c r="C144" s="3">
        <v>1000000</v>
      </c>
      <c r="D144" s="3" t="str">
        <v>I12</v>
      </c>
      <c r="F144" s="3" t="str">
        <v>I7</v>
      </c>
      <c r="G144" s="3">
        <v>1000005</v>
      </c>
      <c r="N144" s="3">
        <v>14</v>
      </c>
    </row>
    <row r="145" spans="3:14">
      <c r="C145" s="3">
        <v>1000001</v>
      </c>
      <c r="D145" s="3" t="str">
        <v>J12</v>
      </c>
      <c r="F145" s="3" t="str">
        <v>J8</v>
      </c>
      <c r="G145" s="3">
        <v>1000005</v>
      </c>
      <c r="N145" s="3">
        <v>15</v>
      </c>
    </row>
    <row r="146" spans="3:14">
      <c r="C146" s="3">
        <v>1000002</v>
      </c>
      <c r="D146" s="3" t="str">
        <v>K12</v>
      </c>
      <c r="F146" s="3" t="str">
        <v>K9</v>
      </c>
      <c r="G146" s="3">
        <v>1000005</v>
      </c>
      <c r="N146" s="3">
        <v>16</v>
      </c>
    </row>
    <row r="147" spans="3:14">
      <c r="C147" s="3">
        <v>1000003</v>
      </c>
      <c r="D147" s="3" t="str">
        <v>L12</v>
      </c>
      <c r="F147" s="3" t="str">
        <v>L10</v>
      </c>
      <c r="G147" s="3">
        <v>1000005</v>
      </c>
      <c r="N147" s="3">
        <v>17</v>
      </c>
    </row>
    <row r="148" spans="3:14">
      <c r="C148" s="3">
        <v>1000004</v>
      </c>
      <c r="D148" s="3" t="str">
        <v>M12</v>
      </c>
      <c r="F148" s="3" t="str">
        <v>M11</v>
      </c>
      <c r="G148" s="3">
        <v>1000005</v>
      </c>
      <c r="N148" s="3">
        <v>18</v>
      </c>
    </row>
    <row r="149" spans="3:14">
      <c r="C149" s="3">
        <v>1000005</v>
      </c>
      <c r="D149" s="3" t="str">
        <v>N12</v>
      </c>
      <c r="F149" s="3" t="str">
        <v>N12</v>
      </c>
      <c r="G149" s="3">
        <v>1000005</v>
      </c>
      <c r="N149" s="3">
        <v>19</v>
      </c>
    </row>
    <row r="150" spans="3:14">
      <c r="C150" s="3">
        <v>1000006</v>
      </c>
      <c r="D150" s="3" t="str">
        <v>O12</v>
      </c>
      <c r="F150" s="3" t="str">
        <v>O13</v>
      </c>
      <c r="G150" s="3">
        <v>1000005</v>
      </c>
      <c r="N150" s="3">
        <v>20</v>
      </c>
    </row>
    <row r="151" spans="3:14">
      <c r="C151" s="3">
        <v>1000007</v>
      </c>
      <c r="D151" s="3" t="str">
        <v>P12</v>
      </c>
      <c r="F151" s="3" t="str">
        <v>P14</v>
      </c>
      <c r="G151" s="3">
        <v>1000005</v>
      </c>
      <c r="N151" s="3">
        <v>21</v>
      </c>
    </row>
    <row r="152" spans="3:14">
      <c r="C152" s="3">
        <v>1000008</v>
      </c>
      <c r="D152" s="3" t="str">
        <v>Q12</v>
      </c>
      <c r="F152" s="3" t="str">
        <v>Q15</v>
      </c>
      <c r="G152" s="3">
        <v>1000005</v>
      </c>
      <c r="N152" s="3">
        <v>22</v>
      </c>
    </row>
    <row r="153" spans="3:14">
      <c r="C153" s="3">
        <v>999993</v>
      </c>
      <c r="D153" s="3" t="str">
        <v>C13</v>
      </c>
      <c r="F153" s="3" t="str">
        <v>I6</v>
      </c>
      <c r="G153" s="3">
        <v>1000006</v>
      </c>
      <c r="N153" s="3">
        <v>9</v>
      </c>
    </row>
    <row r="154" spans="3:14">
      <c r="C154" s="3">
        <v>999994</v>
      </c>
      <c r="D154" s="3" t="str">
        <v>D13</v>
      </c>
      <c r="F154" s="3" t="str">
        <v>J7</v>
      </c>
      <c r="G154" s="3">
        <v>1000006</v>
      </c>
      <c r="N154" s="3">
        <v>10</v>
      </c>
    </row>
    <row r="155" spans="3:14">
      <c r="C155" s="3">
        <v>999995</v>
      </c>
      <c r="D155" s="3" t="str">
        <v>E13</v>
      </c>
      <c r="F155" s="3" t="str">
        <v>K8</v>
      </c>
      <c r="G155" s="3">
        <v>1000006</v>
      </c>
      <c r="N155" s="3">
        <v>11</v>
      </c>
    </row>
    <row r="156" spans="3:14">
      <c r="C156" s="3">
        <v>999996</v>
      </c>
      <c r="D156" s="3" t="str">
        <v>F13</v>
      </c>
      <c r="F156" s="3" t="str">
        <v>L9</v>
      </c>
      <c r="G156" s="3">
        <v>1000006</v>
      </c>
      <c r="N156" s="3">
        <v>12</v>
      </c>
    </row>
    <row r="157" spans="3:14">
      <c r="C157" s="3">
        <v>999997</v>
      </c>
      <c r="D157" s="3" t="str">
        <v>G13</v>
      </c>
      <c r="F157" s="3" t="str">
        <v>M10</v>
      </c>
      <c r="G157" s="3">
        <v>1000006</v>
      </c>
      <c r="N157" s="3">
        <v>13</v>
      </c>
    </row>
    <row r="158" spans="3:14">
      <c r="C158" s="3">
        <v>999998</v>
      </c>
      <c r="D158" s="3" t="str">
        <v>H13</v>
      </c>
      <c r="F158" s="3" t="str">
        <v>N11</v>
      </c>
      <c r="G158" s="3">
        <v>1000006</v>
      </c>
      <c r="N158" s="3">
        <v>14</v>
      </c>
    </row>
    <row r="159" spans="3:14">
      <c r="C159" s="3">
        <v>999999</v>
      </c>
      <c r="D159" s="3" t="str">
        <v>I13</v>
      </c>
      <c r="F159" s="3" t="str">
        <v>O12</v>
      </c>
      <c r="G159" s="3">
        <v>1000006</v>
      </c>
      <c r="N159" s="3">
        <v>15</v>
      </c>
    </row>
    <row r="160" spans="3:14">
      <c r="C160" s="3">
        <v>1000000</v>
      </c>
      <c r="D160" s="3" t="str">
        <v>J13</v>
      </c>
      <c r="F160" s="3" t="str">
        <v>P13</v>
      </c>
      <c r="G160" s="3">
        <v>1000006</v>
      </c>
      <c r="N160" s="3">
        <v>16</v>
      </c>
    </row>
    <row r="161" spans="3:14">
      <c r="C161" s="3">
        <v>1000001</v>
      </c>
      <c r="D161" s="3" t="str">
        <v>K13</v>
      </c>
      <c r="F161" s="3" t="str">
        <v>Q14</v>
      </c>
      <c r="G161" s="3">
        <v>1000006</v>
      </c>
      <c r="N161" s="3">
        <v>17</v>
      </c>
    </row>
    <row r="162" spans="3:14">
      <c r="C162" s="3">
        <v>1000002</v>
      </c>
      <c r="D162" s="3" t="str">
        <v>L13</v>
      </c>
      <c r="F162" s="3" t="str">
        <v>J6</v>
      </c>
      <c r="G162" s="3">
        <v>1000007</v>
      </c>
      <c r="N162" s="3">
        <v>18</v>
      </c>
    </row>
    <row r="163" spans="3:14">
      <c r="C163" s="3">
        <v>1000003</v>
      </c>
      <c r="D163" s="3" t="str">
        <v>M13</v>
      </c>
      <c r="F163" s="3" t="str">
        <v>K7</v>
      </c>
      <c r="G163" s="3">
        <v>1000007</v>
      </c>
      <c r="N163" s="3">
        <v>19</v>
      </c>
    </row>
    <row r="164" spans="3:14">
      <c r="C164" s="3">
        <v>1000004</v>
      </c>
      <c r="D164" s="3" t="str">
        <v>N13</v>
      </c>
      <c r="F164" s="3" t="str">
        <v>L8</v>
      </c>
      <c r="G164" s="3">
        <v>1000007</v>
      </c>
      <c r="N164" s="3">
        <v>20</v>
      </c>
    </row>
    <row r="165" spans="3:14">
      <c r="C165" s="3">
        <v>1000005</v>
      </c>
      <c r="D165" s="3" t="str">
        <v>O13</v>
      </c>
      <c r="F165" s="3" t="str">
        <v>M9</v>
      </c>
      <c r="G165" s="3">
        <v>1000007</v>
      </c>
      <c r="N165" s="3">
        <v>21</v>
      </c>
    </row>
    <row r="166" spans="3:14">
      <c r="C166" s="3">
        <v>1000006</v>
      </c>
      <c r="D166" s="3" t="str">
        <v>P13</v>
      </c>
      <c r="F166" s="3" t="str">
        <v>N10</v>
      </c>
      <c r="G166" s="3">
        <v>1000007</v>
      </c>
      <c r="N166" s="3">
        <v>22</v>
      </c>
    </row>
    <row r="167" spans="3:14">
      <c r="C167" s="3">
        <v>1000007</v>
      </c>
      <c r="D167" s="3" t="str">
        <v>Q13</v>
      </c>
      <c r="F167" s="3" t="str">
        <v>O11</v>
      </c>
      <c r="G167" s="3">
        <v>1000007</v>
      </c>
      <c r="N167" s="3">
        <v>23</v>
      </c>
    </row>
    <row r="168" spans="3:14">
      <c r="C168" s="3">
        <v>999992</v>
      </c>
      <c r="D168" s="3" t="str">
        <v>C14</v>
      </c>
      <c r="F168" s="3" t="str">
        <v>P12</v>
      </c>
      <c r="G168" s="3">
        <v>1000007</v>
      </c>
      <c r="N168" s="3">
        <v>10</v>
      </c>
    </row>
    <row r="169" spans="3:14">
      <c r="C169" s="3">
        <v>999993</v>
      </c>
      <c r="D169" s="3" t="str">
        <v>D14</v>
      </c>
      <c r="F169" s="3" t="str">
        <v>Q13</v>
      </c>
      <c r="G169" s="3">
        <v>1000007</v>
      </c>
      <c r="N169" s="3">
        <v>11</v>
      </c>
    </row>
    <row r="170" spans="3:14">
      <c r="C170" s="3">
        <v>999994</v>
      </c>
      <c r="D170" s="3" t="str">
        <v>E14</v>
      </c>
      <c r="F170" s="3" t="str">
        <v>K6</v>
      </c>
      <c r="G170" s="3">
        <v>1000008</v>
      </c>
      <c r="N170" s="3">
        <v>12</v>
      </c>
    </row>
    <row r="171" spans="3:14">
      <c r="C171" s="3">
        <v>999995</v>
      </c>
      <c r="D171" s="3" t="str">
        <v>F14</v>
      </c>
      <c r="F171" s="3" t="str">
        <v>L7</v>
      </c>
      <c r="G171" s="3">
        <v>1000008</v>
      </c>
      <c r="N171" s="3">
        <v>13</v>
      </c>
    </row>
    <row r="172" spans="3:14">
      <c r="C172" s="3">
        <v>999996</v>
      </c>
      <c r="D172" s="3" t="str">
        <v>G14</v>
      </c>
      <c r="F172" s="3" t="str">
        <v>M8</v>
      </c>
      <c r="G172" s="3">
        <v>1000008</v>
      </c>
      <c r="N172" s="3">
        <v>14</v>
      </c>
    </row>
    <row r="173" spans="3:14">
      <c r="C173" s="3">
        <v>999997</v>
      </c>
      <c r="D173" s="3" t="str">
        <v>H14</v>
      </c>
      <c r="F173" s="3" t="str">
        <v>N9</v>
      </c>
      <c r="G173" s="3">
        <v>1000008</v>
      </c>
      <c r="N173" s="3">
        <v>15</v>
      </c>
    </row>
    <row r="174" spans="3:14">
      <c r="C174" s="3">
        <v>999998</v>
      </c>
      <c r="D174" s="3" t="str">
        <v>I14</v>
      </c>
      <c r="F174" s="3" t="str">
        <v>O10</v>
      </c>
      <c r="G174" s="3">
        <v>1000008</v>
      </c>
      <c r="N174" s="3">
        <v>16</v>
      </c>
    </row>
    <row r="175" spans="3:14">
      <c r="C175" s="3">
        <v>999999</v>
      </c>
      <c r="D175" s="3" t="str">
        <v>J14</v>
      </c>
      <c r="F175" s="3" t="str">
        <v>P11</v>
      </c>
      <c r="G175" s="3">
        <v>1000008</v>
      </c>
      <c r="N175" s="3">
        <v>17</v>
      </c>
    </row>
    <row r="176" spans="3:14">
      <c r="C176" s="3">
        <v>1000000</v>
      </c>
      <c r="D176" s="3" t="str">
        <v>K14</v>
      </c>
      <c r="F176" s="3" t="str">
        <v>Q12</v>
      </c>
      <c r="G176" s="3">
        <v>1000008</v>
      </c>
      <c r="N176" s="3">
        <v>18</v>
      </c>
    </row>
    <row r="177" spans="3:14">
      <c r="C177" s="3">
        <v>1000001</v>
      </c>
      <c r="D177" s="3" t="str">
        <v>L14</v>
      </c>
      <c r="F177" s="3" t="str">
        <v>L6</v>
      </c>
      <c r="G177" s="3">
        <v>1000009</v>
      </c>
      <c r="N177" s="3">
        <v>19</v>
      </c>
    </row>
    <row r="178" spans="3:14">
      <c r="C178" s="3">
        <v>1000002</v>
      </c>
      <c r="D178" s="3" t="str">
        <v>M14</v>
      </c>
      <c r="F178" s="3" t="str">
        <v>M7</v>
      </c>
      <c r="G178" s="3">
        <v>1000009</v>
      </c>
      <c r="N178" s="3">
        <v>20</v>
      </c>
    </row>
    <row r="179" spans="3:14">
      <c r="C179" s="3">
        <v>1000003</v>
      </c>
      <c r="D179" s="3" t="str">
        <v>N14</v>
      </c>
      <c r="F179" s="3" t="str">
        <v>N8</v>
      </c>
      <c r="G179" s="3">
        <v>1000009</v>
      </c>
      <c r="N179" s="3">
        <v>21</v>
      </c>
    </row>
    <row r="180" spans="3:14">
      <c r="C180" s="3">
        <v>1000004</v>
      </c>
      <c r="D180" s="3" t="str">
        <v>O14</v>
      </c>
      <c r="F180" s="3" t="str">
        <v>O9</v>
      </c>
      <c r="G180" s="3">
        <v>1000009</v>
      </c>
      <c r="N180" s="3">
        <v>22</v>
      </c>
    </row>
    <row r="181" spans="3:14">
      <c r="C181" s="3">
        <v>1000005</v>
      </c>
      <c r="D181" s="3" t="str">
        <v>P14</v>
      </c>
      <c r="F181" s="3" t="str">
        <v>P10</v>
      </c>
      <c r="G181" s="3">
        <v>1000009</v>
      </c>
      <c r="N181" s="3">
        <v>23</v>
      </c>
    </row>
    <row r="182" spans="3:14">
      <c r="C182" s="3">
        <v>1000006</v>
      </c>
      <c r="D182" s="3" t="str">
        <v>Q14</v>
      </c>
      <c r="F182" s="3" t="str">
        <v>Q11</v>
      </c>
      <c r="G182" s="3">
        <v>1000009</v>
      </c>
      <c r="N182" s="3">
        <v>24</v>
      </c>
    </row>
    <row r="183" spans="3:14">
      <c r="C183" s="3">
        <v>999991</v>
      </c>
      <c r="D183" s="3" t="str">
        <v>C15</v>
      </c>
      <c r="F183" s="3" t="str">
        <v>M6</v>
      </c>
      <c r="G183" s="3">
        <v>1000010</v>
      </c>
      <c r="N183" s="3">
        <v>11</v>
      </c>
    </row>
    <row r="184" spans="3:14">
      <c r="C184" s="3">
        <v>999992</v>
      </c>
      <c r="D184" s="3" t="str">
        <v>D15</v>
      </c>
      <c r="F184" s="3" t="str">
        <v>N7</v>
      </c>
      <c r="G184" s="3">
        <v>1000010</v>
      </c>
      <c r="N184" s="3">
        <v>12</v>
      </c>
    </row>
    <row r="185" spans="3:14">
      <c r="C185" s="3">
        <v>999993</v>
      </c>
      <c r="D185" s="3" t="str">
        <v>E15</v>
      </c>
      <c r="F185" s="3" t="str">
        <v>O8</v>
      </c>
      <c r="G185" s="3">
        <v>1000010</v>
      </c>
      <c r="N185" s="3">
        <v>13</v>
      </c>
    </row>
    <row r="186" spans="3:14">
      <c r="C186" s="3">
        <v>999994</v>
      </c>
      <c r="D186" s="3" t="str">
        <v>F15</v>
      </c>
      <c r="F186" s="3" t="str">
        <v>P9</v>
      </c>
      <c r="G186" s="3">
        <v>1000010</v>
      </c>
      <c r="N186" s="3">
        <v>14</v>
      </c>
    </row>
    <row r="187" spans="3:14">
      <c r="C187" s="3">
        <v>999995</v>
      </c>
      <c r="D187" s="3" t="str">
        <v>G15</v>
      </c>
      <c r="F187" s="3" t="str">
        <v>Q10</v>
      </c>
      <c r="G187" s="3">
        <v>1000010</v>
      </c>
      <c r="N187" s="3">
        <v>15</v>
      </c>
    </row>
    <row r="188" spans="3:14">
      <c r="C188" s="3">
        <v>999996</v>
      </c>
      <c r="D188" s="3" t="str">
        <v>H15</v>
      </c>
      <c r="F188" s="3" t="str">
        <v>N6</v>
      </c>
      <c r="G188" s="3">
        <v>1000011</v>
      </c>
      <c r="N188" s="3">
        <v>16</v>
      </c>
    </row>
    <row r="189" spans="3:14">
      <c r="C189" s="3">
        <v>999997</v>
      </c>
      <c r="D189" s="3" t="str">
        <v>I15</v>
      </c>
      <c r="F189" s="3" t="str">
        <v>O7</v>
      </c>
      <c r="G189" s="3">
        <v>1000011</v>
      </c>
      <c r="N189" s="3">
        <v>17</v>
      </c>
    </row>
    <row r="190" spans="3:14">
      <c r="C190" s="3">
        <v>999998</v>
      </c>
      <c r="D190" s="3" t="str">
        <v>J15</v>
      </c>
      <c r="F190" s="3" t="str">
        <v>P8</v>
      </c>
      <c r="G190" s="3">
        <v>1000011</v>
      </c>
      <c r="N190" s="3">
        <v>18</v>
      </c>
    </row>
    <row r="191" spans="3:14">
      <c r="C191" s="3">
        <v>999999</v>
      </c>
      <c r="D191" s="3" t="str">
        <v>K15</v>
      </c>
      <c r="F191" s="3" t="str">
        <v>Q9</v>
      </c>
      <c r="G191" s="3">
        <v>1000011</v>
      </c>
      <c r="N191" s="3">
        <v>19</v>
      </c>
    </row>
    <row r="192" spans="3:14">
      <c r="C192" s="3">
        <v>1000000</v>
      </c>
      <c r="D192" s="3" t="str">
        <v>L15</v>
      </c>
      <c r="F192" s="3" t="str">
        <v>O6</v>
      </c>
      <c r="G192" s="3">
        <v>1000012</v>
      </c>
      <c r="N192" s="3">
        <v>20</v>
      </c>
    </row>
    <row r="193" spans="3:14">
      <c r="C193" s="3">
        <v>1000001</v>
      </c>
      <c r="D193" s="3" t="str">
        <v>M15</v>
      </c>
      <c r="F193" s="3" t="str">
        <v>P7</v>
      </c>
      <c r="G193" s="3">
        <v>1000012</v>
      </c>
      <c r="N193" s="3">
        <v>21</v>
      </c>
    </row>
    <row r="194" spans="3:14">
      <c r="C194" s="3">
        <v>1000002</v>
      </c>
      <c r="D194" s="3" t="str">
        <v>N15</v>
      </c>
      <c r="F194" s="3" t="str">
        <v>Q8</v>
      </c>
      <c r="G194" s="3">
        <v>1000012</v>
      </c>
      <c r="N194" s="3">
        <v>22</v>
      </c>
    </row>
    <row r="195" spans="3:14">
      <c r="C195" s="3">
        <v>1000003</v>
      </c>
      <c r="D195" s="3" t="str">
        <v>O15</v>
      </c>
      <c r="F195" s="3" t="str">
        <v>P6</v>
      </c>
      <c r="G195" s="3">
        <v>1000013</v>
      </c>
      <c r="N195" s="3">
        <v>23</v>
      </c>
    </row>
    <row r="196" spans="3:14">
      <c r="C196" s="3">
        <v>1000004</v>
      </c>
      <c r="D196" s="3" t="str">
        <v>P15</v>
      </c>
      <c r="F196" s="3" t="str">
        <v>Q7</v>
      </c>
      <c r="G196" s="3">
        <v>1000013</v>
      </c>
      <c r="N196" s="3">
        <v>24</v>
      </c>
    </row>
    <row r="197" spans="3:14">
      <c r="C197" s="3">
        <v>1000005</v>
      </c>
      <c r="D197" s="3" t="str">
        <v>Q15</v>
      </c>
      <c r="F197" s="3" t="str">
        <v>Q6</v>
      </c>
      <c r="G197" s="3">
        <v>1000014</v>
      </c>
      <c r="N197" s="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844F-BB2F-42AD-A16C-D7BE445A13FE}">
  <sheetPr codeName="Sheet3"/>
  <dimension ref="B2:BE49"/>
  <sheetViews>
    <sheetView workbookViewId="0">
      <selection activeCell="B2" sqref="B2"/>
    </sheetView>
  </sheetViews>
  <sheetFormatPr defaultColWidth="4.140625" defaultRowHeight="15"/>
  <cols>
    <col min="2" max="2" width="5" customWidth="1"/>
  </cols>
  <sheetData>
    <row r="2" spans="2:57">
      <c r="B2" s="23" t="str" cm="1">
        <f t="array" aca="1" ref="B2:Q22" ca="1">Lz_Adjacent(AA11, AA12, AA13, , , AL2:BE24, 1)</f>
        <v>AL2</v>
      </c>
      <c r="C2" s="23" t="str">
        <f ca="1"/>
        <v>AM2</v>
      </c>
      <c r="D2" s="23" t="str">
        <f ca="1"/>
        <v>AN2</v>
      </c>
      <c r="E2" s="23" t="str">
        <f ca="1"/>
        <v>AO2</v>
      </c>
      <c r="F2" s="23" t="str">
        <f ca="1"/>
        <v>AP2</v>
      </c>
      <c r="G2" s="23" t="str">
        <f ca="1"/>
        <v>AQ2</v>
      </c>
      <c r="H2" s="23" t="str">
        <f ca="1"/>
        <v>AR2</v>
      </c>
      <c r="I2" s="23" t="str">
        <f ca="1"/>
        <v>AS2</v>
      </c>
      <c r="J2" s="23" t="str">
        <f ca="1"/>
        <v/>
      </c>
      <c r="K2" s="23" t="str">
        <f ca="1"/>
        <v/>
      </c>
      <c r="L2" s="23" t="str">
        <f ca="1"/>
        <v/>
      </c>
      <c r="M2" s="23" t="str">
        <f ca="1"/>
        <v/>
      </c>
      <c r="N2" s="23" t="str">
        <f ca="1"/>
        <v/>
      </c>
      <c r="O2" s="23" t="str">
        <f ca="1"/>
        <v/>
      </c>
      <c r="P2" s="23" t="str">
        <f ca="1"/>
        <v/>
      </c>
      <c r="Q2" s="23" t="str">
        <f ca="1"/>
        <v/>
      </c>
      <c r="R2" s="23"/>
      <c r="S2" s="23"/>
      <c r="T2" s="23"/>
      <c r="U2" s="23"/>
      <c r="AA2">
        <v>3</v>
      </c>
      <c r="AB2" cm="1">
        <f t="array" ref="AB2:AH2">_xlfn.SEQUENCE(,AA2*2+1)</f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L2" s="23">
        <v>2</v>
      </c>
      <c r="AM2" s="23">
        <v>2</v>
      </c>
      <c r="AN2" s="23">
        <v>2</v>
      </c>
      <c r="AO2" s="23">
        <v>2</v>
      </c>
      <c r="AP2" s="23">
        <v>2</v>
      </c>
      <c r="AQ2" s="23">
        <v>2</v>
      </c>
      <c r="AR2" s="23">
        <v>2</v>
      </c>
      <c r="AS2" s="23">
        <v>2</v>
      </c>
      <c r="AT2" s="23">
        <v>2</v>
      </c>
      <c r="AU2" s="23">
        <v>2</v>
      </c>
      <c r="AV2" s="23">
        <v>2</v>
      </c>
      <c r="AW2" s="23">
        <v>2</v>
      </c>
      <c r="AX2" s="23">
        <v>2</v>
      </c>
      <c r="AY2" s="23">
        <v>2</v>
      </c>
      <c r="AZ2" s="23">
        <v>2</v>
      </c>
      <c r="BA2" s="23">
        <v>2</v>
      </c>
      <c r="BB2" s="23">
        <v>2</v>
      </c>
      <c r="BC2" s="23">
        <v>2</v>
      </c>
      <c r="BD2" s="23">
        <v>2</v>
      </c>
      <c r="BE2" s="23">
        <v>2</v>
      </c>
    </row>
    <row r="3" spans="2:57">
      <c r="B3" s="23" t="str">
        <f ca="1"/>
        <v>AL3</v>
      </c>
      <c r="C3" s="23" t="str">
        <f ca="1"/>
        <v>AM3</v>
      </c>
      <c r="D3" s="23" t="str">
        <f ca="1"/>
        <v>AN3</v>
      </c>
      <c r="E3" s="23" t="str">
        <f ca="1"/>
        <v>AO3</v>
      </c>
      <c r="F3" s="23" t="str">
        <f ca="1"/>
        <v>AP3</v>
      </c>
      <c r="G3" s="23" t="str">
        <f ca="1"/>
        <v>AQ3</v>
      </c>
      <c r="H3" s="23" t="str">
        <f ca="1"/>
        <v>AR3</v>
      </c>
      <c r="I3" s="23" t="str">
        <f ca="1"/>
        <v>AS3</v>
      </c>
      <c r="J3" s="23" t="str">
        <f ca="1"/>
        <v>AT3</v>
      </c>
      <c r="K3" s="23" t="str">
        <f ca="1"/>
        <v/>
      </c>
      <c r="L3" s="23" t="str">
        <f ca="1"/>
        <v/>
      </c>
      <c r="M3" s="23" t="str">
        <f ca="1"/>
        <v/>
      </c>
      <c r="N3" s="23" t="str">
        <f ca="1"/>
        <v/>
      </c>
      <c r="O3" s="23" t="str">
        <f ca="1"/>
        <v/>
      </c>
      <c r="P3" s="23" t="str">
        <f ca="1"/>
        <v/>
      </c>
      <c r="Q3" s="23" t="str">
        <f ca="1"/>
        <v/>
      </c>
      <c r="R3" s="23"/>
      <c r="S3" s="23"/>
      <c r="T3" s="23"/>
      <c r="U3" s="23"/>
      <c r="AA3" cm="1">
        <f t="array" ref="AA3:AA9">_xlfn.SEQUENCE(AA2*2+1,,5)</f>
        <v>5</v>
      </c>
      <c r="AB3" cm="1">
        <f t="array" ref="AB3:AH9">_xlfn.ANCHORARRAY(AA3)+_xlfn.ANCHORARRAY(AB2)</f>
        <v>6</v>
      </c>
      <c r="AC3">
        <v>7</v>
      </c>
      <c r="AD3">
        <v>8</v>
      </c>
      <c r="AE3">
        <v>9</v>
      </c>
      <c r="AF3">
        <v>10</v>
      </c>
      <c r="AG3">
        <v>11</v>
      </c>
      <c r="AH3">
        <v>12</v>
      </c>
      <c r="AL3" s="23">
        <v>2</v>
      </c>
      <c r="AM3" s="23">
        <v>2</v>
      </c>
      <c r="AN3" s="23">
        <v>2</v>
      </c>
      <c r="AO3" s="23">
        <v>2</v>
      </c>
      <c r="AP3" s="23">
        <v>2</v>
      </c>
      <c r="AQ3" s="23">
        <v>2</v>
      </c>
      <c r="AR3" s="23">
        <v>2</v>
      </c>
      <c r="AS3" s="23">
        <v>2</v>
      </c>
      <c r="AT3" s="23">
        <v>2</v>
      </c>
      <c r="AU3" s="23">
        <v>2</v>
      </c>
      <c r="AV3" s="23">
        <v>2</v>
      </c>
      <c r="AW3" s="23">
        <v>2</v>
      </c>
      <c r="AX3" s="23">
        <v>2</v>
      </c>
      <c r="AY3" s="23">
        <v>2</v>
      </c>
      <c r="AZ3" s="23">
        <v>2</v>
      </c>
      <c r="BA3" s="23">
        <v>2</v>
      </c>
      <c r="BB3" s="23">
        <v>2</v>
      </c>
      <c r="BC3" s="23">
        <v>2</v>
      </c>
      <c r="BD3" s="23">
        <v>2</v>
      </c>
      <c r="BE3" s="23">
        <v>2</v>
      </c>
    </row>
    <row r="4" spans="2:57">
      <c r="B4" s="23" t="str">
        <f ca="1"/>
        <v>AL4</v>
      </c>
      <c r="C4" s="23" t="str">
        <f ca="1"/>
        <v>AM4</v>
      </c>
      <c r="D4" s="23" t="str">
        <f ca="1"/>
        <v>AN4</v>
      </c>
      <c r="E4" s="23" t="str">
        <f ca="1"/>
        <v>AO4</v>
      </c>
      <c r="F4" s="23" t="str">
        <f ca="1"/>
        <v>AP4</v>
      </c>
      <c r="G4" s="23" t="str">
        <f ca="1"/>
        <v>AQ4</v>
      </c>
      <c r="H4" s="23" t="str">
        <f ca="1"/>
        <v>AR4</v>
      </c>
      <c r="I4" s="23" t="str">
        <f ca="1"/>
        <v>AS4</v>
      </c>
      <c r="J4" s="23" t="str">
        <f ca="1"/>
        <v>AT4</v>
      </c>
      <c r="K4" s="23" t="str">
        <f ca="1"/>
        <v>AU4</v>
      </c>
      <c r="L4" s="23" t="str">
        <f ca="1"/>
        <v/>
      </c>
      <c r="M4" s="23" t="str">
        <f ca="1"/>
        <v/>
      </c>
      <c r="N4" s="23" t="str">
        <f ca="1"/>
        <v/>
      </c>
      <c r="O4" s="23" t="str">
        <f ca="1"/>
        <v/>
      </c>
      <c r="P4" s="23" t="str">
        <f ca="1"/>
        <v/>
      </c>
      <c r="Q4" s="23" t="str">
        <f ca="1"/>
        <v/>
      </c>
      <c r="R4" s="23"/>
      <c r="S4" s="23"/>
      <c r="T4" s="23"/>
      <c r="U4" s="23"/>
      <c r="AA4">
        <v>6</v>
      </c>
      <c r="AB4">
        <v>7</v>
      </c>
      <c r="AC4">
        <v>8</v>
      </c>
      <c r="AD4">
        <v>9</v>
      </c>
      <c r="AE4">
        <v>10</v>
      </c>
      <c r="AF4">
        <v>11</v>
      </c>
      <c r="AG4">
        <v>12</v>
      </c>
      <c r="AH4">
        <v>13</v>
      </c>
      <c r="AL4" s="23">
        <v>2</v>
      </c>
      <c r="AM4" s="23">
        <v>2</v>
      </c>
      <c r="AN4" s="23">
        <v>2</v>
      </c>
      <c r="AO4" s="23">
        <v>2</v>
      </c>
      <c r="AP4" s="23">
        <v>2</v>
      </c>
      <c r="AQ4" s="23">
        <v>2</v>
      </c>
      <c r="AR4" s="23">
        <v>2</v>
      </c>
      <c r="AS4" s="23">
        <v>2</v>
      </c>
      <c r="AT4" s="23">
        <v>2</v>
      </c>
      <c r="AU4" s="23">
        <v>2</v>
      </c>
      <c r="AV4" s="23">
        <v>2</v>
      </c>
      <c r="AW4" s="23">
        <v>2</v>
      </c>
      <c r="AX4" s="23">
        <v>2</v>
      </c>
      <c r="AY4" s="23">
        <v>2</v>
      </c>
      <c r="AZ4" s="23">
        <v>2</v>
      </c>
      <c r="BA4" s="23">
        <v>2</v>
      </c>
      <c r="BB4" s="23">
        <v>2</v>
      </c>
      <c r="BC4" s="23">
        <v>2</v>
      </c>
      <c r="BD4" s="23">
        <v>2</v>
      </c>
      <c r="BE4" s="23">
        <v>2</v>
      </c>
    </row>
    <row r="5" spans="2:57">
      <c r="B5" s="23" t="str">
        <f ca="1"/>
        <v>AL5</v>
      </c>
      <c r="C5" s="23" t="str">
        <f ca="1"/>
        <v>AM5</v>
      </c>
      <c r="D5" s="23" t="str">
        <f ca="1"/>
        <v>AN5</v>
      </c>
      <c r="E5" s="23" t="str">
        <f ca="1"/>
        <v>AO5</v>
      </c>
      <c r="F5" s="23" t="str">
        <f ca="1"/>
        <v>AP5</v>
      </c>
      <c r="G5" s="23" t="str">
        <f ca="1"/>
        <v>AQ5</v>
      </c>
      <c r="H5" s="23" t="str">
        <f ca="1"/>
        <v>AR5</v>
      </c>
      <c r="I5" s="23" t="str">
        <f ca="1"/>
        <v>AS5</v>
      </c>
      <c r="J5" s="23" t="str">
        <f ca="1"/>
        <v>AT5</v>
      </c>
      <c r="K5" s="23" t="str">
        <f ca="1"/>
        <v>AU5</v>
      </c>
      <c r="L5" s="23" t="str">
        <f ca="1"/>
        <v>AV5</v>
      </c>
      <c r="M5" s="23" t="str">
        <f ca="1"/>
        <v/>
      </c>
      <c r="N5" s="23" t="str">
        <f ca="1"/>
        <v/>
      </c>
      <c r="O5" s="23" t="str">
        <f ca="1"/>
        <v/>
      </c>
      <c r="P5" s="23" t="str">
        <f ca="1"/>
        <v/>
      </c>
      <c r="Q5" s="23" t="str">
        <f ca="1"/>
        <v/>
      </c>
      <c r="R5" s="23"/>
      <c r="S5" s="23"/>
      <c r="T5" s="23"/>
      <c r="U5" s="23"/>
      <c r="AA5">
        <v>7</v>
      </c>
      <c r="AB5">
        <v>8</v>
      </c>
      <c r="AC5">
        <v>9</v>
      </c>
      <c r="AD5">
        <v>10</v>
      </c>
      <c r="AE5">
        <v>11</v>
      </c>
      <c r="AF5">
        <v>12</v>
      </c>
      <c r="AG5">
        <v>13</v>
      </c>
      <c r="AH5">
        <v>14</v>
      </c>
      <c r="AL5" s="23">
        <v>2</v>
      </c>
      <c r="AM5" s="23">
        <v>2</v>
      </c>
      <c r="AN5" s="23">
        <v>2</v>
      </c>
      <c r="AO5" s="23">
        <v>2</v>
      </c>
      <c r="AP5" s="23">
        <v>2</v>
      </c>
      <c r="AQ5" s="23">
        <v>2</v>
      </c>
      <c r="AR5" s="23">
        <v>2</v>
      </c>
      <c r="AS5" s="23">
        <v>2</v>
      </c>
      <c r="AT5" s="23">
        <v>2</v>
      </c>
      <c r="AU5" s="23">
        <v>2</v>
      </c>
      <c r="AV5" s="23">
        <v>2</v>
      </c>
      <c r="AW5" s="23">
        <v>2</v>
      </c>
      <c r="AX5" s="23">
        <v>2</v>
      </c>
      <c r="AY5" s="23">
        <v>2</v>
      </c>
      <c r="AZ5" s="23">
        <v>2</v>
      </c>
      <c r="BA5" s="23">
        <v>2</v>
      </c>
      <c r="BB5" s="23">
        <v>2</v>
      </c>
      <c r="BC5" s="23">
        <v>2</v>
      </c>
      <c r="BD5" s="23">
        <v>2</v>
      </c>
      <c r="BE5" s="23">
        <v>2</v>
      </c>
    </row>
    <row r="6" spans="2:57">
      <c r="B6" s="23" t="str">
        <f ca="1"/>
        <v>AL6</v>
      </c>
      <c r="C6" s="23" t="str">
        <f ca="1"/>
        <v>AM6</v>
      </c>
      <c r="D6" s="23" t="str">
        <f ca="1"/>
        <v>AN6</v>
      </c>
      <c r="E6" s="23" t="str">
        <f ca="1"/>
        <v>AO6</v>
      </c>
      <c r="F6" s="23" t="str">
        <f ca="1"/>
        <v>AP6</v>
      </c>
      <c r="G6" s="23" t="str">
        <f ca="1"/>
        <v>AQ6</v>
      </c>
      <c r="H6" s="23" t="str">
        <f ca="1"/>
        <v>AR6</v>
      </c>
      <c r="I6" s="23" t="str">
        <f ca="1"/>
        <v>AS6</v>
      </c>
      <c r="J6" s="23" t="str">
        <f ca="1"/>
        <v>AT6</v>
      </c>
      <c r="K6" s="23" t="str">
        <f ca="1"/>
        <v>AU6</v>
      </c>
      <c r="L6" s="23" t="str">
        <f ca="1"/>
        <v>AV6</v>
      </c>
      <c r="M6" s="23" t="str">
        <f ca="1"/>
        <v>AW6</v>
      </c>
      <c r="N6" s="23" t="str">
        <f ca="1"/>
        <v/>
      </c>
      <c r="O6" s="23" t="str">
        <f ca="1"/>
        <v/>
      </c>
      <c r="P6" s="23" t="str">
        <f ca="1"/>
        <v/>
      </c>
      <c r="Q6" s="23" t="str">
        <f ca="1"/>
        <v/>
      </c>
      <c r="R6" s="23"/>
      <c r="S6" s="23"/>
      <c r="T6" s="23"/>
      <c r="U6" s="23"/>
      <c r="AA6">
        <v>8</v>
      </c>
      <c r="AB6">
        <v>9</v>
      </c>
      <c r="AC6">
        <v>10</v>
      </c>
      <c r="AD6">
        <v>11</v>
      </c>
      <c r="AE6">
        <v>12</v>
      </c>
      <c r="AF6">
        <v>13</v>
      </c>
      <c r="AG6">
        <v>14</v>
      </c>
      <c r="AH6">
        <v>15</v>
      </c>
      <c r="AL6" s="23">
        <v>2</v>
      </c>
      <c r="AM6" s="23">
        <v>2</v>
      </c>
      <c r="AN6" s="23">
        <v>2</v>
      </c>
      <c r="AO6" s="23">
        <v>2</v>
      </c>
      <c r="AP6" s="23">
        <v>2</v>
      </c>
      <c r="AQ6" s="23">
        <v>2</v>
      </c>
      <c r="AR6" s="23">
        <v>2</v>
      </c>
      <c r="AS6" s="23">
        <v>2</v>
      </c>
      <c r="AT6" s="23">
        <v>2</v>
      </c>
      <c r="AU6" s="23">
        <v>2</v>
      </c>
      <c r="AV6" s="23">
        <v>2</v>
      </c>
      <c r="AW6" s="23">
        <v>2</v>
      </c>
      <c r="AX6" s="23">
        <v>2</v>
      </c>
      <c r="AY6" s="23">
        <v>2</v>
      </c>
      <c r="AZ6" s="23">
        <v>2</v>
      </c>
      <c r="BA6" s="23">
        <v>2</v>
      </c>
      <c r="BB6" s="23">
        <v>2</v>
      </c>
      <c r="BC6" s="23">
        <v>2</v>
      </c>
      <c r="BD6" s="23">
        <v>2</v>
      </c>
      <c r="BE6" s="23">
        <v>2</v>
      </c>
    </row>
    <row r="7" spans="2:57">
      <c r="B7" s="23" t="str">
        <f ca="1"/>
        <v>AL7</v>
      </c>
      <c r="C7" s="23" t="str">
        <f ca="1"/>
        <v>AM7</v>
      </c>
      <c r="D7" s="23" t="str">
        <f ca="1"/>
        <v>AN7</v>
      </c>
      <c r="E7" s="23" t="str">
        <f ca="1"/>
        <v>AO7</v>
      </c>
      <c r="F7" s="23" t="str">
        <f ca="1"/>
        <v>AP7</v>
      </c>
      <c r="G7" s="23" t="str">
        <f ca="1"/>
        <v>AQ7</v>
      </c>
      <c r="H7" s="23" t="str">
        <f ca="1"/>
        <v>AR7</v>
      </c>
      <c r="I7" s="23" t="str">
        <f ca="1"/>
        <v>AS7</v>
      </c>
      <c r="J7" s="23" t="str">
        <f ca="1"/>
        <v>AT7</v>
      </c>
      <c r="K7" s="23" t="str">
        <f ca="1"/>
        <v>AU7</v>
      </c>
      <c r="L7" s="23" t="str">
        <f ca="1"/>
        <v>AV7</v>
      </c>
      <c r="M7" s="23" t="str">
        <f ca="1"/>
        <v>AW7</v>
      </c>
      <c r="N7" s="23" t="str">
        <f ca="1"/>
        <v>AX7</v>
      </c>
      <c r="O7" s="23" t="str">
        <f ca="1"/>
        <v/>
      </c>
      <c r="P7" s="23" t="str">
        <f ca="1"/>
        <v/>
      </c>
      <c r="Q7" s="23" t="str">
        <f ca="1"/>
        <v/>
      </c>
      <c r="R7" s="23"/>
      <c r="S7" s="23"/>
      <c r="T7" s="23"/>
      <c r="U7" s="23"/>
      <c r="AA7">
        <v>9</v>
      </c>
      <c r="AB7">
        <v>10</v>
      </c>
      <c r="AC7">
        <v>11</v>
      </c>
      <c r="AD7">
        <v>12</v>
      </c>
      <c r="AE7">
        <v>13</v>
      </c>
      <c r="AF7">
        <v>14</v>
      </c>
      <c r="AG7">
        <v>15</v>
      </c>
      <c r="AH7">
        <v>16</v>
      </c>
      <c r="AL7" s="23">
        <v>2</v>
      </c>
      <c r="AM7" s="23">
        <v>2</v>
      </c>
      <c r="AN7" s="23">
        <v>2</v>
      </c>
      <c r="AO7" s="23">
        <v>2</v>
      </c>
      <c r="AP7" s="23">
        <v>2</v>
      </c>
      <c r="AQ7" s="23">
        <v>2</v>
      </c>
      <c r="AR7" s="23">
        <v>2</v>
      </c>
      <c r="AS7" s="23">
        <v>2</v>
      </c>
      <c r="AT7" s="23">
        <v>2</v>
      </c>
      <c r="AU7" s="23">
        <v>2</v>
      </c>
      <c r="AV7" s="23">
        <v>2</v>
      </c>
      <c r="AW7" s="23">
        <v>2</v>
      </c>
      <c r="AX7" s="23">
        <v>2</v>
      </c>
      <c r="AY7" s="23">
        <v>2</v>
      </c>
      <c r="AZ7" s="23">
        <v>2</v>
      </c>
      <c r="BA7" s="23">
        <v>2</v>
      </c>
      <c r="BB7" s="23">
        <v>2</v>
      </c>
      <c r="BC7" s="23">
        <v>2</v>
      </c>
      <c r="BD7" s="23">
        <v>2</v>
      </c>
      <c r="BE7" s="23">
        <v>2</v>
      </c>
    </row>
    <row r="8" spans="2:57">
      <c r="B8" s="23" t="str">
        <f ca="1"/>
        <v>AL8</v>
      </c>
      <c r="C8" s="23" t="str">
        <f ca="1"/>
        <v>AM8</v>
      </c>
      <c r="D8" s="23" t="str">
        <f ca="1"/>
        <v>AN8</v>
      </c>
      <c r="E8" s="23" t="str">
        <f ca="1"/>
        <v>AO8</v>
      </c>
      <c r="F8" s="23" t="str">
        <f ca="1"/>
        <v>AP8</v>
      </c>
      <c r="G8" s="23" t="str">
        <f ca="1"/>
        <v>AQ8</v>
      </c>
      <c r="H8" s="23" t="str">
        <f ca="1"/>
        <v>AR8</v>
      </c>
      <c r="I8" s="23" t="str">
        <f ca="1"/>
        <v>AS8</v>
      </c>
      <c r="J8" s="23" t="str">
        <f ca="1"/>
        <v>AT8</v>
      </c>
      <c r="K8" s="23" t="str">
        <f ca="1"/>
        <v>AU8</v>
      </c>
      <c r="L8" s="23" t="str">
        <f ca="1"/>
        <v>AV8</v>
      </c>
      <c r="M8" s="23" t="str">
        <f ca="1"/>
        <v>AW8</v>
      </c>
      <c r="N8" s="23" t="str">
        <f ca="1"/>
        <v>AX8</v>
      </c>
      <c r="O8" s="23" t="str">
        <f ca="1"/>
        <v>AY8</v>
      </c>
      <c r="P8" s="23" t="str">
        <f ca="1"/>
        <v/>
      </c>
      <c r="Q8" s="23" t="str">
        <f ca="1"/>
        <v/>
      </c>
      <c r="R8" s="23"/>
      <c r="S8" s="23"/>
      <c r="T8" s="23"/>
      <c r="U8" s="23"/>
      <c r="AA8">
        <v>10</v>
      </c>
      <c r="AB8">
        <v>11</v>
      </c>
      <c r="AC8">
        <v>12</v>
      </c>
      <c r="AD8">
        <v>13</v>
      </c>
      <c r="AE8">
        <v>14</v>
      </c>
      <c r="AF8">
        <v>15</v>
      </c>
      <c r="AG8">
        <v>16</v>
      </c>
      <c r="AH8">
        <v>17</v>
      </c>
      <c r="AL8" s="23">
        <v>2</v>
      </c>
      <c r="AM8" s="23">
        <v>2</v>
      </c>
      <c r="AN8" s="23">
        <v>2</v>
      </c>
      <c r="AO8" s="23">
        <v>2</v>
      </c>
      <c r="AP8" s="23">
        <v>2</v>
      </c>
      <c r="AQ8" s="23">
        <v>2</v>
      </c>
      <c r="AR8" s="23">
        <v>2</v>
      </c>
      <c r="AS8" s="23">
        <v>2</v>
      </c>
      <c r="AT8" s="23">
        <v>2</v>
      </c>
      <c r="AU8" s="23">
        <v>2</v>
      </c>
      <c r="AV8" s="23">
        <v>2</v>
      </c>
      <c r="AW8" s="23">
        <v>2</v>
      </c>
      <c r="AX8" s="23">
        <v>2</v>
      </c>
      <c r="AY8" s="23">
        <v>2</v>
      </c>
      <c r="AZ8" s="23">
        <v>2</v>
      </c>
      <c r="BA8" s="23">
        <v>2</v>
      </c>
      <c r="BB8" s="23">
        <v>2</v>
      </c>
      <c r="BC8" s="23">
        <v>2</v>
      </c>
      <c r="BD8" s="23">
        <v>2</v>
      </c>
      <c r="BE8" s="23">
        <v>2</v>
      </c>
    </row>
    <row r="9" spans="2:57">
      <c r="B9" s="23" t="str">
        <f ca="1"/>
        <v>AL9</v>
      </c>
      <c r="C9" s="23" t="str">
        <f ca="1"/>
        <v>AM9</v>
      </c>
      <c r="D9" s="23" t="str">
        <f ca="1"/>
        <v>AN9</v>
      </c>
      <c r="E9" s="23" t="str">
        <f ca="1"/>
        <v>AO9</v>
      </c>
      <c r="F9" s="23" t="str">
        <f ca="1"/>
        <v>AP9</v>
      </c>
      <c r="G9" s="23" t="str">
        <f ca="1"/>
        <v>AQ9</v>
      </c>
      <c r="H9" s="23" t="str">
        <f ca="1"/>
        <v>AR9</v>
      </c>
      <c r="I9" s="23" t="str">
        <f ca="1"/>
        <v>AS9</v>
      </c>
      <c r="J9" s="23" t="str">
        <f ca="1"/>
        <v>AT9</v>
      </c>
      <c r="K9" s="23" t="str">
        <f ca="1"/>
        <v>AU9</v>
      </c>
      <c r="L9" s="23" t="str">
        <f ca="1"/>
        <v>AV9</v>
      </c>
      <c r="M9" s="23" t="str">
        <f ca="1"/>
        <v>AW9</v>
      </c>
      <c r="N9" s="23" t="str">
        <f ca="1"/>
        <v>AX9</v>
      </c>
      <c r="O9" s="23" t="str">
        <f ca="1"/>
        <v>AY9</v>
      </c>
      <c r="P9" s="23" t="str">
        <f ca="1"/>
        <v>AZ9</v>
      </c>
      <c r="Q9" s="23" t="str">
        <f ca="1"/>
        <v/>
      </c>
      <c r="R9" s="23"/>
      <c r="S9" s="23"/>
      <c r="T9" s="23"/>
      <c r="U9" s="23"/>
      <c r="AA9">
        <v>11</v>
      </c>
      <c r="AB9">
        <v>12</v>
      </c>
      <c r="AC9">
        <v>13</v>
      </c>
      <c r="AD9">
        <v>14</v>
      </c>
      <c r="AE9">
        <v>15</v>
      </c>
      <c r="AF9">
        <v>16</v>
      </c>
      <c r="AG9">
        <v>17</v>
      </c>
      <c r="AH9">
        <v>18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2</v>
      </c>
      <c r="AR9" s="23">
        <v>2</v>
      </c>
      <c r="AS9" s="23">
        <v>2</v>
      </c>
      <c r="AT9" s="23">
        <v>2</v>
      </c>
      <c r="AU9" s="23">
        <v>2</v>
      </c>
      <c r="AV9" s="23">
        <v>2</v>
      </c>
      <c r="AW9" s="23">
        <v>2</v>
      </c>
      <c r="AX9" s="23">
        <v>2</v>
      </c>
      <c r="AY9" s="23">
        <v>2</v>
      </c>
      <c r="AZ9" s="23">
        <v>2</v>
      </c>
      <c r="BA9" s="23">
        <v>2</v>
      </c>
      <c r="BB9" s="23">
        <v>2</v>
      </c>
      <c r="BC9" s="23">
        <v>2</v>
      </c>
      <c r="BD9" s="23">
        <v>2</v>
      </c>
      <c r="BE9" s="23">
        <v>2</v>
      </c>
    </row>
    <row r="10" spans="2:57">
      <c r="B10" s="23" t="str">
        <f ca="1"/>
        <v>AL10</v>
      </c>
      <c r="C10" s="23" t="str">
        <f ca="1"/>
        <v>AM10</v>
      </c>
      <c r="D10" s="23" t="str">
        <f ca="1"/>
        <v>AN10</v>
      </c>
      <c r="E10" s="23" t="str">
        <f ca="1"/>
        <v>AO10</v>
      </c>
      <c r="F10" s="23" t="str">
        <f ca="1"/>
        <v>AP10</v>
      </c>
      <c r="G10" s="23" t="str">
        <f ca="1"/>
        <v>AQ10</v>
      </c>
      <c r="H10" s="23" t="str">
        <f ca="1"/>
        <v>AR10</v>
      </c>
      <c r="I10" s="23" t="str">
        <f ca="1"/>
        <v>AS10</v>
      </c>
      <c r="J10" s="23" t="str">
        <f ca="1"/>
        <v>AT10</v>
      </c>
      <c r="K10" s="23" t="str">
        <f ca="1"/>
        <v>AU10</v>
      </c>
      <c r="L10" s="23" t="str">
        <f ca="1"/>
        <v>AV10</v>
      </c>
      <c r="M10" s="23" t="str">
        <f ca="1"/>
        <v>AW10</v>
      </c>
      <c r="N10" s="23" t="str">
        <f ca="1"/>
        <v>AX10</v>
      </c>
      <c r="O10" s="23" t="str">
        <f ca="1"/>
        <v>AY10</v>
      </c>
      <c r="P10" s="23" t="str">
        <f ca="1"/>
        <v>AZ10</v>
      </c>
      <c r="Q10" s="23" t="str">
        <f ca="1"/>
        <v>BA10</v>
      </c>
      <c r="R10" s="23"/>
      <c r="S10" s="23"/>
      <c r="T10" s="23"/>
      <c r="U10" s="23"/>
      <c r="AL10" s="23">
        <v>2</v>
      </c>
      <c r="AM10" s="23">
        <v>2</v>
      </c>
      <c r="AN10" s="23">
        <v>2</v>
      </c>
      <c r="AO10" s="23">
        <v>2</v>
      </c>
      <c r="AP10" s="23">
        <v>2</v>
      </c>
      <c r="AQ10" s="23">
        <v>2</v>
      </c>
      <c r="AR10" s="23">
        <v>2</v>
      </c>
      <c r="AS10" s="23">
        <v>2</v>
      </c>
      <c r="AT10" s="23">
        <v>2</v>
      </c>
      <c r="AU10" s="23">
        <v>2</v>
      </c>
      <c r="AV10" s="23">
        <v>2</v>
      </c>
      <c r="AW10" s="23">
        <v>2</v>
      </c>
      <c r="AX10" s="23">
        <v>2</v>
      </c>
      <c r="AY10" s="23">
        <v>2</v>
      </c>
      <c r="AZ10" s="23">
        <v>2</v>
      </c>
      <c r="BA10" s="23">
        <v>2</v>
      </c>
      <c r="BB10" s="23">
        <v>2</v>
      </c>
      <c r="BC10" s="23">
        <v>2</v>
      </c>
      <c r="BD10" s="23">
        <v>2</v>
      </c>
      <c r="BE10" s="23">
        <v>2</v>
      </c>
    </row>
    <row r="11" spans="2:57">
      <c r="B11" s="23" t="str">
        <f ca="1"/>
        <v>AL11</v>
      </c>
      <c r="C11" s="23" t="str">
        <f ca="1"/>
        <v>AM11</v>
      </c>
      <c r="D11" s="23" t="str">
        <f ca="1"/>
        <v>AN11</v>
      </c>
      <c r="E11" s="23" t="str">
        <f ca="1"/>
        <v>AO11</v>
      </c>
      <c r="F11" s="23" t="str">
        <f ca="1"/>
        <v>AP11</v>
      </c>
      <c r="G11" s="23" t="str">
        <f ca="1"/>
        <v>AQ11</v>
      </c>
      <c r="H11" s="23" t="str">
        <f ca="1"/>
        <v>AR11</v>
      </c>
      <c r="I11" s="23" t="str">
        <f ca="1"/>
        <v>AS11</v>
      </c>
      <c r="J11" s="23" t="str">
        <f ca="1"/>
        <v>AT11</v>
      </c>
      <c r="K11" s="23" t="str">
        <f ca="1"/>
        <v>AU11</v>
      </c>
      <c r="L11" s="23" t="str">
        <f ca="1"/>
        <v>AV11</v>
      </c>
      <c r="M11" s="23" t="str">
        <f ca="1"/>
        <v>AW11</v>
      </c>
      <c r="N11" s="23" t="str">
        <f ca="1"/>
        <v>AX11</v>
      </c>
      <c r="O11" s="23" t="str">
        <f ca="1"/>
        <v>AY11</v>
      </c>
      <c r="P11" s="23" t="str">
        <f ca="1"/>
        <v>AZ11</v>
      </c>
      <c r="Q11" s="23" t="str">
        <f ca="1"/>
        <v/>
      </c>
      <c r="R11" s="23"/>
      <c r="S11" s="23"/>
      <c r="T11" s="23"/>
      <c r="U11" s="23"/>
      <c r="AA11" t="s">
        <v>289</v>
      </c>
      <c r="AL11" s="23">
        <v>2</v>
      </c>
      <c r="AM11" s="23">
        <v>2</v>
      </c>
      <c r="AN11" s="23">
        <v>2</v>
      </c>
      <c r="AO11" s="23">
        <v>2</v>
      </c>
      <c r="AP11" s="23">
        <v>2</v>
      </c>
      <c r="AQ11" s="23">
        <v>2</v>
      </c>
      <c r="AR11" s="23">
        <v>2</v>
      </c>
      <c r="AS11" s="23">
        <v>2</v>
      </c>
      <c r="AT11" s="23">
        <v>2</v>
      </c>
      <c r="AU11" s="23">
        <v>2</v>
      </c>
      <c r="AV11" s="23">
        <v>2</v>
      </c>
      <c r="AW11" s="23">
        <v>2</v>
      </c>
      <c r="AX11" s="23">
        <v>2</v>
      </c>
      <c r="AY11" s="23">
        <v>2</v>
      </c>
      <c r="AZ11" s="23">
        <v>2</v>
      </c>
      <c r="BA11" s="23">
        <v>2</v>
      </c>
      <c r="BB11" s="23">
        <v>2</v>
      </c>
      <c r="BC11" s="23">
        <v>2</v>
      </c>
      <c r="BD11" s="23">
        <v>2</v>
      </c>
      <c r="BE11" s="23">
        <v>2</v>
      </c>
    </row>
    <row r="12" spans="2:57">
      <c r="B12" s="23" t="str">
        <f ca="1"/>
        <v>AL12</v>
      </c>
      <c r="C12" s="23" t="str">
        <f ca="1"/>
        <v>AM12</v>
      </c>
      <c r="D12" s="23" t="str">
        <f ca="1"/>
        <v>AN12</v>
      </c>
      <c r="E12" s="23" t="str">
        <f ca="1"/>
        <v>AO12</v>
      </c>
      <c r="F12" s="23" t="str">
        <f ca="1"/>
        <v>AP12</v>
      </c>
      <c r="G12" s="23" t="str">
        <f ca="1"/>
        <v>AQ12</v>
      </c>
      <c r="H12" s="23" t="str">
        <f ca="1"/>
        <v>AR12</v>
      </c>
      <c r="I12" s="23" t="str">
        <f ca="1"/>
        <v>AS12</v>
      </c>
      <c r="J12" s="23" t="str">
        <f ca="1"/>
        <v>AT12</v>
      </c>
      <c r="K12" s="23" t="str">
        <f ca="1"/>
        <v>AU12</v>
      </c>
      <c r="L12" s="23" t="str">
        <f ca="1"/>
        <v>AV12</v>
      </c>
      <c r="M12" s="23" t="str">
        <f ca="1"/>
        <v>AW12</v>
      </c>
      <c r="N12" s="23" t="str">
        <f ca="1"/>
        <v>AX12</v>
      </c>
      <c r="O12" s="23" t="str">
        <f ca="1"/>
        <v>AY12</v>
      </c>
      <c r="P12" s="23" t="str">
        <f ca="1"/>
        <v/>
      </c>
      <c r="Q12" s="23" t="str">
        <f ca="1"/>
        <v/>
      </c>
      <c r="R12" s="23"/>
      <c r="S12" s="23"/>
      <c r="T12" s="23"/>
      <c r="U12" s="23"/>
      <c r="AA12">
        <v>12</v>
      </c>
      <c r="AL12" s="23">
        <v>2</v>
      </c>
      <c r="AM12" s="23">
        <v>2</v>
      </c>
      <c r="AN12" s="23">
        <v>2</v>
      </c>
      <c r="AO12" s="23">
        <v>2</v>
      </c>
      <c r="AP12" s="23">
        <v>2</v>
      </c>
      <c r="AQ12" s="23">
        <v>2</v>
      </c>
      <c r="AR12" s="23">
        <v>2</v>
      </c>
      <c r="AS12" s="23">
        <v>2</v>
      </c>
      <c r="AT12" s="23">
        <v>2</v>
      </c>
      <c r="AU12" s="23">
        <v>2</v>
      </c>
      <c r="AV12" s="23">
        <v>2</v>
      </c>
      <c r="AW12" s="23">
        <v>2</v>
      </c>
      <c r="AX12" s="23">
        <v>2</v>
      </c>
      <c r="AY12" s="23">
        <v>2</v>
      </c>
      <c r="AZ12" s="23">
        <v>2</v>
      </c>
      <c r="BA12" s="23">
        <v>2</v>
      </c>
      <c r="BB12" s="23">
        <v>2</v>
      </c>
      <c r="BC12" s="23">
        <v>2</v>
      </c>
      <c r="BD12" s="23">
        <v>2</v>
      </c>
      <c r="BE12" s="23">
        <v>2</v>
      </c>
    </row>
    <row r="13" spans="2:57">
      <c r="B13" s="23" t="str">
        <f ca="1"/>
        <v>AL13</v>
      </c>
      <c r="C13" s="23" t="str">
        <f ca="1"/>
        <v>AM13</v>
      </c>
      <c r="D13" s="23" t="str">
        <f ca="1"/>
        <v>AN13</v>
      </c>
      <c r="E13" s="23" t="str">
        <f ca="1"/>
        <v>AO13</v>
      </c>
      <c r="F13" s="23" t="str">
        <f ca="1"/>
        <v>AP13</v>
      </c>
      <c r="G13" s="23" t="str">
        <f ca="1"/>
        <v>AQ13</v>
      </c>
      <c r="H13" s="23" t="str">
        <f ca="1"/>
        <v>AR13</v>
      </c>
      <c r="I13" s="23" t="str">
        <f ca="1"/>
        <v>AS13</v>
      </c>
      <c r="J13" s="23" t="str">
        <f ca="1"/>
        <v>AT13</v>
      </c>
      <c r="K13" s="23" t="str">
        <f ca="1"/>
        <v>AU13</v>
      </c>
      <c r="L13" s="23" t="str">
        <f ca="1"/>
        <v>AV13</v>
      </c>
      <c r="M13" s="23" t="str">
        <f ca="1"/>
        <v>AW13</v>
      </c>
      <c r="N13" s="23" t="str">
        <f ca="1"/>
        <v>AX13</v>
      </c>
      <c r="O13" s="23" t="str">
        <f ca="1"/>
        <v/>
      </c>
      <c r="P13" s="23" t="str">
        <f ca="1"/>
        <v/>
      </c>
      <c r="Q13" s="23" t="str">
        <f ca="1"/>
        <v/>
      </c>
      <c r="R13" s="23"/>
      <c r="S13" s="23"/>
      <c r="T13" s="23"/>
      <c r="U13" s="23"/>
      <c r="AA13">
        <v>2</v>
      </c>
      <c r="AL13" s="23">
        <v>2</v>
      </c>
      <c r="AM13" s="23">
        <v>2</v>
      </c>
      <c r="AN13" s="23">
        <v>2</v>
      </c>
      <c r="AO13" s="23">
        <v>2</v>
      </c>
      <c r="AP13" s="23">
        <v>2</v>
      </c>
      <c r="AQ13" s="23">
        <v>2</v>
      </c>
      <c r="AR13" s="23">
        <v>2</v>
      </c>
      <c r="AS13" s="23">
        <v>2</v>
      </c>
      <c r="AT13" s="23">
        <v>2</v>
      </c>
      <c r="AU13" s="23">
        <v>2</v>
      </c>
      <c r="AV13" s="23">
        <v>2</v>
      </c>
      <c r="AW13" s="23">
        <v>2</v>
      </c>
      <c r="AX13" s="23">
        <v>2</v>
      </c>
      <c r="AY13" s="23">
        <v>2</v>
      </c>
      <c r="AZ13" s="23">
        <v>2</v>
      </c>
      <c r="BA13" s="23">
        <v>2</v>
      </c>
      <c r="BB13" s="23">
        <v>2</v>
      </c>
      <c r="BC13" s="23">
        <v>2</v>
      </c>
      <c r="BD13" s="23">
        <v>2</v>
      </c>
      <c r="BE13" s="23">
        <v>2</v>
      </c>
    </row>
    <row r="14" spans="2:57">
      <c r="B14" s="23" t="str">
        <f ca="1"/>
        <v>AL14</v>
      </c>
      <c r="C14" s="23" t="str">
        <f ca="1"/>
        <v>AM14</v>
      </c>
      <c r="D14" s="23" t="str">
        <f ca="1"/>
        <v>AN14</v>
      </c>
      <c r="E14" s="23" t="str">
        <f ca="1"/>
        <v>AO14</v>
      </c>
      <c r="F14" s="23" t="str">
        <f ca="1"/>
        <v>AP14</v>
      </c>
      <c r="G14" s="23" t="str">
        <f ca="1"/>
        <v>AQ14</v>
      </c>
      <c r="H14" s="23" t="str">
        <f ca="1"/>
        <v>AR14</v>
      </c>
      <c r="I14" s="23" t="str">
        <f ca="1"/>
        <v>AS14</v>
      </c>
      <c r="J14" s="23" t="str">
        <f ca="1"/>
        <v>AT14</v>
      </c>
      <c r="K14" s="23" t="str">
        <f ca="1"/>
        <v>AU14</v>
      </c>
      <c r="L14" s="23" t="str">
        <f ca="1"/>
        <v>AV14</v>
      </c>
      <c r="M14" s="23" t="str">
        <f ca="1"/>
        <v>AW14</v>
      </c>
      <c r="N14" s="23" t="str">
        <f ca="1"/>
        <v/>
      </c>
      <c r="O14" s="23" t="str">
        <f ca="1"/>
        <v/>
      </c>
      <c r="P14" s="23" t="str">
        <f ca="1"/>
        <v/>
      </c>
      <c r="Q14" s="23" t="str">
        <f ca="1"/>
        <v/>
      </c>
      <c r="R14" s="23"/>
      <c r="S14" s="23"/>
      <c r="T14" s="23"/>
      <c r="U14" s="23"/>
      <c r="AA14">
        <v>1</v>
      </c>
      <c r="AL14" s="23">
        <v>2</v>
      </c>
      <c r="AM14" s="23">
        <v>2</v>
      </c>
      <c r="AN14" s="23">
        <v>2</v>
      </c>
      <c r="AO14" s="23">
        <v>2</v>
      </c>
      <c r="AP14" s="23">
        <v>2</v>
      </c>
      <c r="AQ14" s="23">
        <v>2</v>
      </c>
      <c r="AR14" s="23">
        <v>2</v>
      </c>
      <c r="AS14" s="23">
        <v>2</v>
      </c>
      <c r="AT14" s="23">
        <v>2</v>
      </c>
      <c r="AU14" s="23">
        <v>2</v>
      </c>
      <c r="AV14" s="23">
        <v>2</v>
      </c>
      <c r="AW14" s="23">
        <v>2</v>
      </c>
      <c r="AX14" s="23">
        <v>2</v>
      </c>
      <c r="AY14" s="23">
        <v>2</v>
      </c>
      <c r="AZ14" s="23">
        <v>2</v>
      </c>
      <c r="BA14" s="23">
        <v>2</v>
      </c>
      <c r="BB14" s="23">
        <v>2</v>
      </c>
      <c r="BC14" s="23">
        <v>2</v>
      </c>
      <c r="BD14" s="23">
        <v>2</v>
      </c>
      <c r="BE14" s="23">
        <v>2</v>
      </c>
    </row>
    <row r="15" spans="2:57">
      <c r="B15" s="23" t="str">
        <f ca="1"/>
        <v>AL15</v>
      </c>
      <c r="C15" s="23" t="str">
        <f ca="1"/>
        <v>AM15</v>
      </c>
      <c r="D15" s="23" t="str">
        <f ca="1"/>
        <v>AN15</v>
      </c>
      <c r="E15" s="23" t="str">
        <f ca="1"/>
        <v>AO15</v>
      </c>
      <c r="F15" s="23" t="str">
        <f ca="1"/>
        <v>AP15</v>
      </c>
      <c r="G15" s="23" t="str">
        <f ca="1"/>
        <v>AQ15</v>
      </c>
      <c r="H15" s="23" t="str">
        <f ca="1"/>
        <v>AR15</v>
      </c>
      <c r="I15" s="23" t="str">
        <f ca="1"/>
        <v>AS15</v>
      </c>
      <c r="J15" s="23" t="str">
        <f ca="1"/>
        <v>AT15</v>
      </c>
      <c r="K15" s="23" t="str">
        <f ca="1"/>
        <v>AU15</v>
      </c>
      <c r="L15" s="23" t="str">
        <f ca="1"/>
        <v>AV15</v>
      </c>
      <c r="M15" s="23" t="str">
        <f ca="1"/>
        <v/>
      </c>
      <c r="N15" s="23" t="str">
        <f ca="1"/>
        <v/>
      </c>
      <c r="O15" s="23" t="str">
        <f ca="1"/>
        <v/>
      </c>
      <c r="P15" s="23" t="str">
        <f ca="1"/>
        <v/>
      </c>
      <c r="Q15" s="23" t="str">
        <f ca="1"/>
        <v/>
      </c>
      <c r="R15" s="23"/>
      <c r="S15" s="23"/>
      <c r="T15" s="23"/>
      <c r="U15" s="23"/>
      <c r="AL15" s="23">
        <v>2</v>
      </c>
      <c r="AM15" s="23">
        <v>2</v>
      </c>
      <c r="AN15" s="23">
        <v>2</v>
      </c>
      <c r="AO15" s="23">
        <v>2</v>
      </c>
      <c r="AP15" s="23">
        <v>2</v>
      </c>
      <c r="AQ15" s="23">
        <v>2</v>
      </c>
      <c r="AR15" s="23">
        <v>2</v>
      </c>
      <c r="AS15" s="23">
        <v>2</v>
      </c>
      <c r="AT15" s="23">
        <v>2</v>
      </c>
      <c r="AU15" s="23">
        <v>2</v>
      </c>
      <c r="AV15" s="23">
        <v>2</v>
      </c>
      <c r="AW15" s="23">
        <v>2</v>
      </c>
      <c r="AX15" s="23">
        <v>2</v>
      </c>
      <c r="AY15" s="23">
        <v>2</v>
      </c>
      <c r="AZ15" s="23">
        <v>2</v>
      </c>
      <c r="BA15" s="23">
        <v>2</v>
      </c>
      <c r="BB15" s="23">
        <v>2</v>
      </c>
      <c r="BC15" s="23">
        <v>2</v>
      </c>
      <c r="BD15" s="23">
        <v>2</v>
      </c>
      <c r="BE15" s="23">
        <v>2</v>
      </c>
    </row>
    <row r="16" spans="2:57">
      <c r="B16" s="23" t="str">
        <f ca="1"/>
        <v>AL16</v>
      </c>
      <c r="C16" s="23" t="str">
        <f ca="1"/>
        <v>AM16</v>
      </c>
      <c r="D16" s="23" t="str">
        <f ca="1"/>
        <v>AN16</v>
      </c>
      <c r="E16" s="23" t="str">
        <f ca="1"/>
        <v>AO16</v>
      </c>
      <c r="F16" s="23" t="str">
        <f ca="1"/>
        <v>AP16</v>
      </c>
      <c r="G16" s="23" t="str">
        <f ca="1"/>
        <v>AQ16</v>
      </c>
      <c r="H16" s="23" t="str">
        <f ca="1"/>
        <v>AR16</v>
      </c>
      <c r="I16" s="23" t="str">
        <f ca="1"/>
        <v>AS16</v>
      </c>
      <c r="J16" s="23" t="str">
        <f ca="1"/>
        <v>AT16</v>
      </c>
      <c r="K16" s="23" t="str">
        <f ca="1"/>
        <v>AU16</v>
      </c>
      <c r="L16" s="23" t="str">
        <f ca="1"/>
        <v/>
      </c>
      <c r="M16" s="23" t="str">
        <f ca="1"/>
        <v/>
      </c>
      <c r="N16" s="23" t="str">
        <f ca="1"/>
        <v/>
      </c>
      <c r="O16" s="23" t="str">
        <f ca="1"/>
        <v/>
      </c>
      <c r="P16" s="23" t="str">
        <f ca="1"/>
        <v/>
      </c>
      <c r="Q16" s="23" t="str">
        <f ca="1"/>
        <v/>
      </c>
      <c r="R16" s="23"/>
      <c r="S16" s="23"/>
      <c r="T16" s="23"/>
      <c r="U16" s="23"/>
      <c r="AL16" s="23">
        <v>2</v>
      </c>
      <c r="AM16" s="23">
        <v>2</v>
      </c>
      <c r="AN16" s="23">
        <v>2</v>
      </c>
      <c r="AO16" s="23">
        <v>2</v>
      </c>
      <c r="AP16" s="23">
        <v>2</v>
      </c>
      <c r="AQ16" s="23">
        <v>2</v>
      </c>
      <c r="AR16" s="23">
        <v>2</v>
      </c>
      <c r="AS16" s="23">
        <v>2</v>
      </c>
      <c r="AT16" s="23">
        <v>2</v>
      </c>
      <c r="AU16" s="23">
        <v>2</v>
      </c>
      <c r="AV16" s="23">
        <v>2</v>
      </c>
      <c r="AW16" s="23">
        <v>2</v>
      </c>
      <c r="AX16" s="23">
        <v>2</v>
      </c>
      <c r="AY16" s="23">
        <v>2</v>
      </c>
      <c r="AZ16" s="23">
        <v>2</v>
      </c>
      <c r="BA16" s="23">
        <v>2</v>
      </c>
      <c r="BB16" s="23">
        <v>2</v>
      </c>
      <c r="BC16" s="23">
        <v>2</v>
      </c>
      <c r="BD16" s="23">
        <v>2</v>
      </c>
      <c r="BE16" s="23">
        <v>2</v>
      </c>
    </row>
    <row r="17" spans="2:57">
      <c r="B17" s="23" t="str">
        <f ca="1"/>
        <v>AL17</v>
      </c>
      <c r="C17" s="23" t="str">
        <f ca="1"/>
        <v>AM17</v>
      </c>
      <c r="D17" s="23" t="str">
        <f ca="1"/>
        <v>AN17</v>
      </c>
      <c r="E17" s="23" t="str">
        <f ca="1"/>
        <v>AO17</v>
      </c>
      <c r="F17" s="23" t="str">
        <f ca="1"/>
        <v>AP17</v>
      </c>
      <c r="G17" s="23" t="str">
        <f ca="1"/>
        <v>AQ17</v>
      </c>
      <c r="H17" s="23" t="str">
        <f ca="1"/>
        <v>AR17</v>
      </c>
      <c r="I17" s="23" t="str">
        <f ca="1"/>
        <v>AS17</v>
      </c>
      <c r="J17" s="23" t="str">
        <f ca="1"/>
        <v>AT17</v>
      </c>
      <c r="K17" s="23" t="str">
        <f ca="1"/>
        <v/>
      </c>
      <c r="L17" s="23" t="str">
        <f ca="1"/>
        <v/>
      </c>
      <c r="M17" s="23" t="str">
        <f ca="1"/>
        <v/>
      </c>
      <c r="N17" s="23" t="str">
        <f ca="1"/>
        <v/>
      </c>
      <c r="O17" s="23" t="str">
        <f ca="1"/>
        <v/>
      </c>
      <c r="P17" s="23" t="str">
        <f ca="1"/>
        <v/>
      </c>
      <c r="Q17" s="23" t="str">
        <f ca="1"/>
        <v/>
      </c>
      <c r="R17" s="23"/>
      <c r="S17" s="23"/>
      <c r="T17" s="23"/>
      <c r="U17" s="23"/>
      <c r="AL17" s="23">
        <v>2</v>
      </c>
      <c r="AM17" s="23">
        <v>2</v>
      </c>
      <c r="AN17" s="23">
        <v>2</v>
      </c>
      <c r="AO17" s="23">
        <v>2</v>
      </c>
      <c r="AP17" s="23">
        <v>2</v>
      </c>
      <c r="AQ17" s="23">
        <v>2</v>
      </c>
      <c r="AR17" s="23">
        <v>2</v>
      </c>
      <c r="AS17" s="23">
        <v>2</v>
      </c>
      <c r="AT17" s="23">
        <v>2</v>
      </c>
      <c r="AU17" s="23">
        <v>2</v>
      </c>
      <c r="AV17" s="23">
        <v>2</v>
      </c>
      <c r="AW17" s="23">
        <v>2</v>
      </c>
      <c r="AX17" s="23">
        <v>2</v>
      </c>
      <c r="AY17" s="23">
        <v>2</v>
      </c>
      <c r="AZ17" s="23">
        <v>2</v>
      </c>
      <c r="BA17" s="23">
        <v>2</v>
      </c>
      <c r="BB17" s="23">
        <v>2</v>
      </c>
      <c r="BC17" s="23">
        <v>2</v>
      </c>
      <c r="BD17" s="23">
        <v>2</v>
      </c>
      <c r="BE17" s="23">
        <v>2</v>
      </c>
    </row>
    <row r="18" spans="2:57">
      <c r="B18" s="23" t="str">
        <f ca="1"/>
        <v>AL18</v>
      </c>
      <c r="C18" s="23" t="str">
        <f ca="1"/>
        <v>AM18</v>
      </c>
      <c r="D18" s="23" t="str">
        <f ca="1"/>
        <v>AN18</v>
      </c>
      <c r="E18" s="23" t="str">
        <f ca="1"/>
        <v>AO18</v>
      </c>
      <c r="F18" s="23" t="str">
        <f ca="1"/>
        <v>AP18</v>
      </c>
      <c r="G18" s="23" t="str">
        <f ca="1"/>
        <v>AQ18</v>
      </c>
      <c r="H18" s="23" t="str">
        <f ca="1"/>
        <v>AR18</v>
      </c>
      <c r="I18" s="23" t="str">
        <f ca="1"/>
        <v>AS18</v>
      </c>
      <c r="J18" s="23" t="str">
        <f ca="1"/>
        <v/>
      </c>
      <c r="K18" s="23" t="str">
        <f ca="1"/>
        <v/>
      </c>
      <c r="L18" s="23" t="str">
        <f ca="1"/>
        <v/>
      </c>
      <c r="M18" s="23" t="str">
        <f ca="1"/>
        <v/>
      </c>
      <c r="N18" s="23" t="str">
        <f ca="1"/>
        <v/>
      </c>
      <c r="O18" s="23" t="str">
        <f ca="1"/>
        <v/>
      </c>
      <c r="P18" s="23" t="str">
        <f ca="1"/>
        <v/>
      </c>
      <c r="Q18" s="23" t="str">
        <f ca="1"/>
        <v/>
      </c>
      <c r="R18" s="23"/>
      <c r="S18" s="23"/>
      <c r="T18" s="23"/>
      <c r="U18" s="23"/>
      <c r="AL18" s="23">
        <v>2</v>
      </c>
      <c r="AM18" s="23">
        <v>2</v>
      </c>
      <c r="AN18" s="23">
        <v>2</v>
      </c>
      <c r="AO18" s="23">
        <v>2</v>
      </c>
      <c r="AP18" s="23">
        <v>2</v>
      </c>
      <c r="AQ18" s="23">
        <v>2</v>
      </c>
      <c r="AR18" s="23">
        <v>2</v>
      </c>
      <c r="AS18" s="23">
        <v>2</v>
      </c>
      <c r="AT18" s="23">
        <v>2</v>
      </c>
      <c r="AU18" s="23">
        <v>2</v>
      </c>
      <c r="AV18" s="23">
        <v>2</v>
      </c>
      <c r="AW18" s="23">
        <v>2</v>
      </c>
      <c r="AX18" s="23">
        <v>2</v>
      </c>
      <c r="AY18" s="23">
        <v>2</v>
      </c>
      <c r="AZ18" s="23">
        <v>2</v>
      </c>
      <c r="BA18" s="23">
        <v>2</v>
      </c>
      <c r="BB18" s="23">
        <v>2</v>
      </c>
      <c r="BC18" s="23">
        <v>2</v>
      </c>
      <c r="BD18" s="23">
        <v>2</v>
      </c>
      <c r="BE18" s="23">
        <v>2</v>
      </c>
    </row>
    <row r="19" spans="2:57">
      <c r="B19" s="23" t="str">
        <f ca="1"/>
        <v>AL19</v>
      </c>
      <c r="C19" s="23" t="str">
        <f ca="1"/>
        <v>AM19</v>
      </c>
      <c r="D19" s="23" t="str">
        <f ca="1"/>
        <v>AN19</v>
      </c>
      <c r="E19" s="23" t="str">
        <f ca="1"/>
        <v>AO19</v>
      </c>
      <c r="F19" s="23" t="str">
        <f ca="1"/>
        <v>AP19</v>
      </c>
      <c r="G19" s="23" t="str">
        <f ca="1"/>
        <v>AQ19</v>
      </c>
      <c r="H19" s="23" t="str">
        <f ca="1"/>
        <v>AR19</v>
      </c>
      <c r="I19" s="23" t="str">
        <f ca="1"/>
        <v/>
      </c>
      <c r="J19" s="23" t="str">
        <f ca="1"/>
        <v/>
      </c>
      <c r="K19" s="23" t="str">
        <f ca="1"/>
        <v/>
      </c>
      <c r="L19" s="23" t="str">
        <f ca="1"/>
        <v/>
      </c>
      <c r="M19" s="23" t="str">
        <f ca="1"/>
        <v/>
      </c>
      <c r="N19" s="23" t="str">
        <f ca="1"/>
        <v/>
      </c>
      <c r="O19" s="23" t="str">
        <f ca="1"/>
        <v/>
      </c>
      <c r="P19" s="23" t="str">
        <f ca="1"/>
        <v/>
      </c>
      <c r="Q19" s="23" t="str">
        <f ca="1"/>
        <v/>
      </c>
      <c r="R19" s="23"/>
      <c r="S19" s="23"/>
      <c r="T19" s="23"/>
      <c r="U19" s="23"/>
      <c r="AL19" s="23">
        <v>2</v>
      </c>
      <c r="AM19" s="23">
        <v>2</v>
      </c>
      <c r="AN19" s="23">
        <v>2</v>
      </c>
      <c r="AO19" s="23">
        <v>2</v>
      </c>
      <c r="AP19" s="23">
        <v>2</v>
      </c>
      <c r="AQ19" s="23">
        <v>2</v>
      </c>
      <c r="AR19" s="23">
        <v>2</v>
      </c>
      <c r="AS19" s="23">
        <v>2</v>
      </c>
      <c r="AT19" s="23">
        <v>2</v>
      </c>
      <c r="AU19" s="23">
        <v>2</v>
      </c>
      <c r="AV19" s="23">
        <v>2</v>
      </c>
      <c r="AW19" s="23">
        <v>2</v>
      </c>
      <c r="AX19" s="23">
        <v>2</v>
      </c>
      <c r="AY19" s="23">
        <v>2</v>
      </c>
      <c r="AZ19" s="23">
        <v>2</v>
      </c>
      <c r="BA19" s="23">
        <v>2</v>
      </c>
      <c r="BB19" s="23">
        <v>2</v>
      </c>
      <c r="BC19" s="23">
        <v>2</v>
      </c>
      <c r="BD19" s="23">
        <v>2</v>
      </c>
      <c r="BE19" s="23">
        <v>2</v>
      </c>
    </row>
    <row r="20" spans="2:57">
      <c r="B20" s="23" t="str">
        <f ca="1"/>
        <v/>
      </c>
      <c r="C20" s="23" t="str">
        <f ca="1"/>
        <v>AM20</v>
      </c>
      <c r="D20" s="23" t="str">
        <f ca="1"/>
        <v>AN20</v>
      </c>
      <c r="E20" s="23" t="str">
        <f ca="1"/>
        <v>AO20</v>
      </c>
      <c r="F20" s="23" t="str">
        <f ca="1"/>
        <v>AP20</v>
      </c>
      <c r="G20" s="23" t="str">
        <f ca="1"/>
        <v>AQ20</v>
      </c>
      <c r="H20" s="23" t="str">
        <f ca="1"/>
        <v/>
      </c>
      <c r="I20" s="23" t="str">
        <f ca="1"/>
        <v/>
      </c>
      <c r="J20" s="23" t="str">
        <f ca="1"/>
        <v/>
      </c>
      <c r="K20" s="23" t="str">
        <f ca="1"/>
        <v/>
      </c>
      <c r="L20" s="23" t="str">
        <f ca="1"/>
        <v/>
      </c>
      <c r="M20" s="23" t="str">
        <f ca="1"/>
        <v/>
      </c>
      <c r="N20" s="23" t="str">
        <f ca="1"/>
        <v/>
      </c>
      <c r="O20" s="23" t="str">
        <f ca="1"/>
        <v/>
      </c>
      <c r="P20" s="23" t="str">
        <f ca="1"/>
        <v/>
      </c>
      <c r="Q20" s="23" t="str">
        <f ca="1"/>
        <v/>
      </c>
      <c r="R20" s="23"/>
      <c r="S20" s="23"/>
      <c r="T20" s="23"/>
      <c r="U20" s="23"/>
      <c r="AL20" s="23">
        <v>2</v>
      </c>
      <c r="AM20" s="23">
        <v>2</v>
      </c>
      <c r="AN20" s="23">
        <v>2</v>
      </c>
      <c r="AO20" s="23">
        <v>2</v>
      </c>
      <c r="AP20" s="23">
        <v>2</v>
      </c>
      <c r="AQ20" s="23">
        <v>2</v>
      </c>
      <c r="AR20" s="23">
        <v>2</v>
      </c>
      <c r="AS20" s="23">
        <v>2</v>
      </c>
      <c r="AT20" s="23">
        <v>2</v>
      </c>
      <c r="AU20" s="23">
        <v>2</v>
      </c>
      <c r="AV20" s="23">
        <v>2</v>
      </c>
      <c r="AW20" s="23">
        <v>2</v>
      </c>
      <c r="AX20" s="23">
        <v>2</v>
      </c>
      <c r="AY20" s="23">
        <v>2</v>
      </c>
      <c r="AZ20" s="23">
        <v>2</v>
      </c>
      <c r="BA20" s="23">
        <v>2</v>
      </c>
      <c r="BB20" s="23">
        <v>2</v>
      </c>
      <c r="BC20" s="23">
        <v>2</v>
      </c>
      <c r="BD20" s="23">
        <v>2</v>
      </c>
      <c r="BE20" s="23">
        <v>2</v>
      </c>
    </row>
    <row r="21" spans="2:57">
      <c r="B21" s="23" t="str">
        <f ca="1"/>
        <v/>
      </c>
      <c r="C21" s="23" t="str">
        <f ca="1"/>
        <v/>
      </c>
      <c r="D21" s="23" t="str">
        <f ca="1"/>
        <v>AN21</v>
      </c>
      <c r="E21" s="23" t="str">
        <f ca="1"/>
        <v>AO21</v>
      </c>
      <c r="F21" s="23" t="str">
        <f ca="1"/>
        <v>AP21</v>
      </c>
      <c r="G21" s="23" t="str">
        <f ca="1"/>
        <v/>
      </c>
      <c r="H21" s="23" t="str">
        <f ca="1"/>
        <v/>
      </c>
      <c r="I21" s="23" t="str">
        <f ca="1"/>
        <v/>
      </c>
      <c r="J21" s="23" t="str">
        <f ca="1"/>
        <v/>
      </c>
      <c r="K21" s="23" t="str">
        <f ca="1"/>
        <v/>
      </c>
      <c r="L21" s="23" t="str">
        <f ca="1"/>
        <v/>
      </c>
      <c r="M21" s="23" t="str">
        <f ca="1"/>
        <v/>
      </c>
      <c r="N21" s="23" t="str">
        <f ca="1"/>
        <v/>
      </c>
      <c r="O21" s="23" t="str">
        <f ca="1"/>
        <v/>
      </c>
      <c r="P21" s="23" t="str">
        <f ca="1"/>
        <v/>
      </c>
      <c r="Q21" s="23" t="str">
        <f ca="1"/>
        <v/>
      </c>
      <c r="R21" s="23"/>
      <c r="S21" s="23"/>
      <c r="T21" s="23"/>
      <c r="U21" s="23"/>
      <c r="AL21" s="23">
        <v>2</v>
      </c>
      <c r="AM21" s="23">
        <v>2</v>
      </c>
      <c r="AN21" s="23">
        <v>2</v>
      </c>
      <c r="AO21" s="23">
        <v>2</v>
      </c>
      <c r="AP21" s="23">
        <v>2</v>
      </c>
      <c r="AQ21" s="23">
        <v>2</v>
      </c>
      <c r="AR21" s="23">
        <v>2</v>
      </c>
      <c r="AS21" s="23">
        <v>2</v>
      </c>
      <c r="AT21" s="23">
        <v>2</v>
      </c>
      <c r="AU21" s="23">
        <v>2</v>
      </c>
      <c r="AV21" s="23">
        <v>2</v>
      </c>
      <c r="AW21" s="23">
        <v>2</v>
      </c>
      <c r="AX21" s="23">
        <v>2</v>
      </c>
      <c r="AY21" s="23">
        <v>2</v>
      </c>
      <c r="AZ21" s="23">
        <v>2</v>
      </c>
      <c r="BA21" s="23">
        <v>2</v>
      </c>
      <c r="BB21" s="23">
        <v>2</v>
      </c>
      <c r="BC21" s="23">
        <v>2</v>
      </c>
      <c r="BD21" s="23">
        <v>2</v>
      </c>
      <c r="BE21" s="23">
        <v>2</v>
      </c>
    </row>
    <row r="22" spans="2:57">
      <c r="B22" s="23" t="str">
        <f ca="1"/>
        <v/>
      </c>
      <c r="C22" s="23" t="str">
        <f ca="1"/>
        <v/>
      </c>
      <c r="D22" s="23" t="str">
        <f ca="1"/>
        <v/>
      </c>
      <c r="E22" s="23" t="str">
        <f ca="1"/>
        <v>AO22</v>
      </c>
      <c r="F22" s="23" t="str">
        <f ca="1"/>
        <v/>
      </c>
      <c r="G22" s="23" t="str">
        <f ca="1"/>
        <v/>
      </c>
      <c r="H22" s="23" t="str">
        <f ca="1"/>
        <v/>
      </c>
      <c r="I22" s="23" t="str">
        <f ca="1"/>
        <v/>
      </c>
      <c r="J22" s="23" t="str">
        <f ca="1"/>
        <v/>
      </c>
      <c r="K22" s="23" t="str">
        <f ca="1"/>
        <v/>
      </c>
      <c r="L22" s="23" t="str">
        <f ca="1"/>
        <v/>
      </c>
      <c r="M22" s="23" t="str">
        <f ca="1"/>
        <v/>
      </c>
      <c r="N22" s="23" t="str">
        <f ca="1"/>
        <v/>
      </c>
      <c r="O22" s="23" t="str">
        <f ca="1"/>
        <v/>
      </c>
      <c r="P22" s="23" t="str">
        <f ca="1"/>
        <v/>
      </c>
      <c r="Q22" s="23" t="str">
        <f ca="1"/>
        <v/>
      </c>
      <c r="R22" s="23"/>
      <c r="S22" s="23"/>
      <c r="T22" s="23"/>
      <c r="U22" s="23"/>
      <c r="AL22" s="23">
        <v>2</v>
      </c>
      <c r="AM22" s="23">
        <v>2</v>
      </c>
      <c r="AN22" s="23">
        <v>2</v>
      </c>
      <c r="AO22" s="23">
        <v>2</v>
      </c>
      <c r="AP22" s="23">
        <v>2</v>
      </c>
      <c r="AQ22" s="23">
        <v>2</v>
      </c>
      <c r="AR22" s="23">
        <v>2</v>
      </c>
      <c r="AS22" s="23">
        <v>2</v>
      </c>
      <c r="AT22" s="23">
        <v>2</v>
      </c>
      <c r="AU22" s="23">
        <v>2</v>
      </c>
      <c r="AV22" s="23">
        <v>2</v>
      </c>
      <c r="AW22" s="23">
        <v>2</v>
      </c>
      <c r="AX22" s="23">
        <v>2</v>
      </c>
      <c r="AY22" s="23">
        <v>2</v>
      </c>
      <c r="AZ22" s="23">
        <v>2</v>
      </c>
      <c r="BA22" s="23">
        <v>2</v>
      </c>
      <c r="BB22" s="23">
        <v>2</v>
      </c>
      <c r="BC22" s="23">
        <v>2</v>
      </c>
      <c r="BD22" s="23">
        <v>2</v>
      </c>
      <c r="BE22" s="23">
        <v>2</v>
      </c>
    </row>
    <row r="23" spans="2:57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AL23" s="23">
        <v>2</v>
      </c>
      <c r="AM23" s="23">
        <v>2</v>
      </c>
      <c r="AN23" s="23">
        <v>2</v>
      </c>
      <c r="AO23" s="23">
        <v>2</v>
      </c>
      <c r="AP23" s="23">
        <v>2</v>
      </c>
      <c r="AQ23" s="23">
        <v>2</v>
      </c>
      <c r="AR23" s="23">
        <v>2</v>
      </c>
      <c r="AS23" s="23">
        <v>2</v>
      </c>
      <c r="AT23" s="23">
        <v>2</v>
      </c>
      <c r="AU23" s="23">
        <v>2</v>
      </c>
      <c r="AV23" s="23">
        <v>2</v>
      </c>
      <c r="AW23" s="23">
        <v>2</v>
      </c>
      <c r="AX23" s="23">
        <v>2</v>
      </c>
      <c r="AY23" s="23">
        <v>2</v>
      </c>
      <c r="AZ23" s="23">
        <v>2</v>
      </c>
      <c r="BA23" s="23">
        <v>2</v>
      </c>
      <c r="BB23" s="23">
        <v>2</v>
      </c>
      <c r="BC23" s="23">
        <v>2</v>
      </c>
      <c r="BD23" s="23">
        <v>2</v>
      </c>
      <c r="BE23" s="23">
        <v>2</v>
      </c>
    </row>
    <row r="24" spans="2:57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AL24" s="23">
        <v>2</v>
      </c>
      <c r="AM24" s="23">
        <v>2</v>
      </c>
      <c r="AN24" s="23">
        <v>2</v>
      </c>
      <c r="AO24" s="23">
        <v>2</v>
      </c>
      <c r="AP24" s="23">
        <v>2</v>
      </c>
      <c r="AQ24" s="23">
        <v>2</v>
      </c>
      <c r="AR24" s="23">
        <v>2</v>
      </c>
      <c r="AS24" s="23">
        <v>2</v>
      </c>
      <c r="AT24" s="23">
        <v>2</v>
      </c>
      <c r="AU24" s="23">
        <v>2</v>
      </c>
      <c r="AV24" s="23">
        <v>2</v>
      </c>
      <c r="AW24" s="23">
        <v>2</v>
      </c>
      <c r="AX24" s="23">
        <v>2</v>
      </c>
      <c r="AY24" s="23">
        <v>2</v>
      </c>
      <c r="AZ24" s="23">
        <v>2</v>
      </c>
      <c r="BA24" s="23">
        <v>2</v>
      </c>
      <c r="BB24" s="23">
        <v>2</v>
      </c>
      <c r="BC24" s="23">
        <v>2</v>
      </c>
      <c r="BD24" s="23">
        <v>2</v>
      </c>
      <c r="BE24" s="23">
        <v>2</v>
      </c>
    </row>
    <row r="28" spans="2:57">
      <c r="B28" t="str" cm="1">
        <f t="array" aca="1" ref="B28:Z49" ca="1">Lz_Adjacent(AA11, AA12, AA13, 1, , , 1)</f>
        <v/>
      </c>
      <c r="C28" t="str">
        <f ca="1"/>
        <v/>
      </c>
      <c r="D28" t="str">
        <f ca="1"/>
        <v/>
      </c>
      <c r="E28" t="str">
        <f ca="1"/>
        <v/>
      </c>
      <c r="F28" t="str">
        <f ca="1"/>
        <v/>
      </c>
      <c r="G28" t="str">
        <f ca="1"/>
        <v/>
      </c>
      <c r="H28" t="str">
        <f ca="1"/>
        <v/>
      </c>
      <c r="I28" t="str">
        <f ca="1"/>
        <v/>
      </c>
      <c r="J28" t="str">
        <f ca="1"/>
        <v/>
      </c>
      <c r="K28" t="str">
        <f ca="1"/>
        <v>AL1</v>
      </c>
      <c r="L28" t="str">
        <f ca="1"/>
        <v>AM1</v>
      </c>
      <c r="M28" t="str">
        <f ca="1"/>
        <v>AN1</v>
      </c>
      <c r="N28" t="str">
        <f ca="1"/>
        <v>AO1</v>
      </c>
      <c r="O28" t="str">
        <f ca="1"/>
        <v>AP1</v>
      </c>
      <c r="P28" t="str">
        <f ca="1"/>
        <v>AQ1</v>
      </c>
      <c r="Q28" t="str">
        <f ca="1"/>
        <v>AR1</v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</row>
    <row r="29" spans="2:57">
      <c r="B29" t="str">
        <f ca="1"/>
        <v/>
      </c>
      <c r="C29" t="str">
        <f ca="1"/>
        <v/>
      </c>
      <c r="D29" t="str">
        <f ca="1"/>
        <v/>
      </c>
      <c r="E29" t="str">
        <f ca="1"/>
        <v/>
      </c>
      <c r="F29" t="str">
        <f ca="1"/>
        <v/>
      </c>
      <c r="G29" t="str">
        <f ca="1"/>
        <v/>
      </c>
      <c r="H29" t="str">
        <f ca="1"/>
        <v/>
      </c>
      <c r="I29" t="str">
        <f ca="1"/>
        <v/>
      </c>
      <c r="J29" t="str">
        <f ca="1"/>
        <v>AK2</v>
      </c>
      <c r="K29" t="str">
        <f ca="1"/>
        <v>AL2</v>
      </c>
      <c r="L29" t="str">
        <f ca="1"/>
        <v>AM2</v>
      </c>
      <c r="M29" t="str">
        <f ca="1"/>
        <v>AN2</v>
      </c>
      <c r="N29" t="str">
        <f ca="1"/>
        <v>AO2</v>
      </c>
      <c r="O29" t="str">
        <f ca="1"/>
        <v>AP2</v>
      </c>
      <c r="P29" t="str">
        <f ca="1"/>
        <v>AQ2</v>
      </c>
      <c r="Q29" t="str">
        <f ca="1"/>
        <v>AR2</v>
      </c>
      <c r="R29" t="str">
        <f ca="1"/>
        <v>AS2</v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</row>
    <row r="30" spans="2:57">
      <c r="B30" t="str">
        <f ca="1"/>
        <v/>
      </c>
      <c r="C30" t="str">
        <f ca="1"/>
        <v/>
      </c>
      <c r="D30" t="str">
        <f ca="1"/>
        <v/>
      </c>
      <c r="E30" t="str">
        <f ca="1"/>
        <v/>
      </c>
      <c r="F30" t="str">
        <f ca="1"/>
        <v/>
      </c>
      <c r="G30" t="str">
        <f ca="1"/>
        <v/>
      </c>
      <c r="H30" t="str">
        <f ca="1"/>
        <v/>
      </c>
      <c r="I30" t="str">
        <f ca="1"/>
        <v>AJ3</v>
      </c>
      <c r="J30" t="str">
        <f ca="1"/>
        <v>AK3</v>
      </c>
      <c r="K30" t="str">
        <f ca="1"/>
        <v>AL3</v>
      </c>
      <c r="L30" t="str">
        <f ca="1"/>
        <v>AM3</v>
      </c>
      <c r="M30" t="str">
        <f ca="1"/>
        <v>AN3</v>
      </c>
      <c r="N30" t="str">
        <f ca="1"/>
        <v>AO3</v>
      </c>
      <c r="O30" t="str">
        <f ca="1"/>
        <v>AP3</v>
      </c>
      <c r="P30" t="str">
        <f ca="1"/>
        <v>AQ3</v>
      </c>
      <c r="Q30" t="str">
        <f ca="1"/>
        <v>AR3</v>
      </c>
      <c r="R30" t="str">
        <f ca="1"/>
        <v>AS3</v>
      </c>
      <c r="S30" t="str">
        <f ca="1"/>
        <v>AT3</v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</row>
    <row r="31" spans="2:57">
      <c r="B31" t="str">
        <f ca="1"/>
        <v/>
      </c>
      <c r="C31" t="str">
        <f ca="1"/>
        <v/>
      </c>
      <c r="D31" t="str">
        <f ca="1"/>
        <v/>
      </c>
      <c r="E31" t="str">
        <f ca="1"/>
        <v/>
      </c>
      <c r="F31" t="str">
        <f ca="1"/>
        <v/>
      </c>
      <c r="G31" t="str">
        <f ca="1"/>
        <v/>
      </c>
      <c r="H31" t="str">
        <f ca="1"/>
        <v>AI4</v>
      </c>
      <c r="I31" t="str">
        <f ca="1"/>
        <v>AJ4</v>
      </c>
      <c r="J31" t="str">
        <f ca="1"/>
        <v>AK4</v>
      </c>
      <c r="K31" t="str">
        <f ca="1"/>
        <v>AL4</v>
      </c>
      <c r="L31" t="str">
        <f ca="1"/>
        <v>AM4</v>
      </c>
      <c r="M31" t="str">
        <f ca="1"/>
        <v>AN4</v>
      </c>
      <c r="N31" t="str">
        <f ca="1"/>
        <v>AO4</v>
      </c>
      <c r="O31" t="str">
        <f ca="1"/>
        <v>AP4</v>
      </c>
      <c r="P31" t="str">
        <f ca="1"/>
        <v>AQ4</v>
      </c>
      <c r="Q31" t="str">
        <f ca="1"/>
        <v>AR4</v>
      </c>
      <c r="R31" t="str">
        <f ca="1"/>
        <v>AS4</v>
      </c>
      <c r="S31" t="str">
        <f ca="1"/>
        <v>AT4</v>
      </c>
      <c r="T31" t="str">
        <f ca="1"/>
        <v>AU4</v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</row>
    <row r="32" spans="2:57">
      <c r="B32" t="str">
        <f ca="1"/>
        <v/>
      </c>
      <c r="C32" t="str">
        <f ca="1"/>
        <v/>
      </c>
      <c r="D32" t="str">
        <f ca="1"/>
        <v/>
      </c>
      <c r="E32" t="str">
        <f ca="1"/>
        <v/>
      </c>
      <c r="F32" t="str">
        <f ca="1"/>
        <v/>
      </c>
      <c r="G32" t="str">
        <f ca="1"/>
        <v>AH5</v>
      </c>
      <c r="H32" t="str">
        <f ca="1"/>
        <v>AI5</v>
      </c>
      <c r="I32" t="str">
        <f ca="1"/>
        <v>AJ5</v>
      </c>
      <c r="J32" t="str">
        <f ca="1"/>
        <v>AK5</v>
      </c>
      <c r="K32" t="str">
        <f ca="1"/>
        <v>AL5</v>
      </c>
      <c r="L32" t="str">
        <f ca="1"/>
        <v>AM5</v>
      </c>
      <c r="M32" t="str">
        <f ca="1"/>
        <v>AN5</v>
      </c>
      <c r="N32" t="str">
        <f ca="1"/>
        <v>AO5</v>
      </c>
      <c r="O32" t="str">
        <f ca="1"/>
        <v>AP5</v>
      </c>
      <c r="P32" t="str">
        <f ca="1"/>
        <v>AQ5</v>
      </c>
      <c r="Q32" t="str">
        <f ca="1"/>
        <v>AR5</v>
      </c>
      <c r="R32" t="str">
        <f ca="1"/>
        <v>AS5</v>
      </c>
      <c r="S32" t="str">
        <f ca="1"/>
        <v>AT5</v>
      </c>
      <c r="T32" t="str">
        <f ca="1"/>
        <v>AU5</v>
      </c>
      <c r="U32" t="str">
        <f ca="1"/>
        <v>AV5</v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</row>
    <row r="33" spans="2:26">
      <c r="B33" t="str">
        <f ca="1"/>
        <v/>
      </c>
      <c r="C33" t="str">
        <f ca="1"/>
        <v/>
      </c>
      <c r="D33" t="str">
        <f ca="1"/>
        <v/>
      </c>
      <c r="E33" t="str">
        <f ca="1"/>
        <v/>
      </c>
      <c r="F33" t="str">
        <f ca="1"/>
        <v>AG6</v>
      </c>
      <c r="G33" t="str">
        <f ca="1"/>
        <v>AH6</v>
      </c>
      <c r="H33" t="str">
        <f ca="1"/>
        <v>AI6</v>
      </c>
      <c r="I33" t="str">
        <f ca="1"/>
        <v>AJ6</v>
      </c>
      <c r="J33" t="str">
        <f ca="1"/>
        <v>AK6</v>
      </c>
      <c r="K33" t="str">
        <f ca="1"/>
        <v>AL6</v>
      </c>
      <c r="L33" t="str">
        <f ca="1"/>
        <v>AM6</v>
      </c>
      <c r="M33" t="str">
        <f ca="1"/>
        <v>AN6</v>
      </c>
      <c r="N33" t="str">
        <f ca="1"/>
        <v>AO6</v>
      </c>
      <c r="O33" t="str">
        <f ca="1"/>
        <v>AP6</v>
      </c>
      <c r="P33" t="str">
        <f ca="1"/>
        <v>AQ6</v>
      </c>
      <c r="Q33" t="str">
        <f ca="1"/>
        <v>AR6</v>
      </c>
      <c r="R33" t="str">
        <f ca="1"/>
        <v>AS6</v>
      </c>
      <c r="S33" t="str">
        <f ca="1"/>
        <v>AT6</v>
      </c>
      <c r="T33" t="str">
        <f ca="1"/>
        <v>AU6</v>
      </c>
      <c r="U33" t="str">
        <f ca="1"/>
        <v>AV6</v>
      </c>
      <c r="V33" t="str">
        <f ca="1"/>
        <v>AW6</v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</row>
    <row r="34" spans="2:26">
      <c r="B34" t="str">
        <f ca="1"/>
        <v/>
      </c>
      <c r="C34" t="str">
        <f ca="1"/>
        <v/>
      </c>
      <c r="D34" t="str">
        <f ca="1"/>
        <v/>
      </c>
      <c r="E34" t="str">
        <f ca="1"/>
        <v>AF7</v>
      </c>
      <c r="F34" t="str">
        <f ca="1"/>
        <v>AG7</v>
      </c>
      <c r="G34" t="str">
        <f ca="1"/>
        <v>AH7</v>
      </c>
      <c r="H34" t="str">
        <f ca="1"/>
        <v>AI7</v>
      </c>
      <c r="I34" t="str">
        <f ca="1"/>
        <v>AJ7</v>
      </c>
      <c r="J34" t="str">
        <f ca="1"/>
        <v>AK7</v>
      </c>
      <c r="K34" t="str">
        <f ca="1"/>
        <v>AL7</v>
      </c>
      <c r="L34" t="str">
        <f ca="1"/>
        <v>AM7</v>
      </c>
      <c r="M34" t="str">
        <f ca="1"/>
        <v>AN7</v>
      </c>
      <c r="N34" t="str">
        <f ca="1"/>
        <v>AO7</v>
      </c>
      <c r="O34" t="str">
        <f ca="1"/>
        <v>AP7</v>
      </c>
      <c r="P34" t="str">
        <f ca="1"/>
        <v>AQ7</v>
      </c>
      <c r="Q34" t="str">
        <f ca="1"/>
        <v>AR7</v>
      </c>
      <c r="R34" t="str">
        <f ca="1"/>
        <v>AS7</v>
      </c>
      <c r="S34" t="str">
        <f ca="1"/>
        <v>AT7</v>
      </c>
      <c r="T34" t="str">
        <f ca="1"/>
        <v>AU7</v>
      </c>
      <c r="U34" t="str">
        <f ca="1"/>
        <v>AV7</v>
      </c>
      <c r="V34" t="str">
        <f ca="1"/>
        <v>AW7</v>
      </c>
      <c r="W34" t="str">
        <f ca="1"/>
        <v>AX7</v>
      </c>
      <c r="X34" t="str">
        <f ca="1"/>
        <v/>
      </c>
      <c r="Y34" t="str">
        <f ca="1"/>
        <v/>
      </c>
      <c r="Z34" t="str">
        <f ca="1"/>
        <v/>
      </c>
    </row>
    <row r="35" spans="2:26">
      <c r="B35" t="str">
        <f ca="1"/>
        <v/>
      </c>
      <c r="C35" t="str">
        <f ca="1"/>
        <v/>
      </c>
      <c r="D35" t="str">
        <f ca="1"/>
        <v>AE8</v>
      </c>
      <c r="E35" t="str">
        <f ca="1"/>
        <v>AF8</v>
      </c>
      <c r="F35" t="str">
        <f ca="1"/>
        <v>AG8</v>
      </c>
      <c r="G35" t="str">
        <f ca="1"/>
        <v>AH8</v>
      </c>
      <c r="H35" t="str">
        <f ca="1"/>
        <v>AI8</v>
      </c>
      <c r="I35" t="str">
        <f ca="1"/>
        <v>AJ8</v>
      </c>
      <c r="J35" t="str">
        <f ca="1"/>
        <v>AK8</v>
      </c>
      <c r="K35" t="str">
        <f ca="1"/>
        <v>AL8</v>
      </c>
      <c r="L35" t="str">
        <f ca="1"/>
        <v>AM8</v>
      </c>
      <c r="M35" t="str">
        <f ca="1"/>
        <v>AN8</v>
      </c>
      <c r="N35" t="str">
        <f ca="1"/>
        <v>AO8</v>
      </c>
      <c r="O35" t="str">
        <f ca="1"/>
        <v>AP8</v>
      </c>
      <c r="P35" t="str">
        <f ca="1"/>
        <v>AQ8</v>
      </c>
      <c r="Q35" t="str">
        <f ca="1"/>
        <v>AR8</v>
      </c>
      <c r="R35" t="str">
        <f ca="1"/>
        <v>AS8</v>
      </c>
      <c r="S35" t="str">
        <f ca="1"/>
        <v>AT8</v>
      </c>
      <c r="T35" t="str">
        <f ca="1"/>
        <v>AU8</v>
      </c>
      <c r="U35" t="str">
        <f ca="1"/>
        <v>AV8</v>
      </c>
      <c r="V35" t="str">
        <f ca="1"/>
        <v>AW8</v>
      </c>
      <c r="W35" t="str">
        <f ca="1"/>
        <v>AX8</v>
      </c>
      <c r="X35" t="str">
        <f ca="1"/>
        <v>AY8</v>
      </c>
      <c r="Y35" t="str">
        <f ca="1"/>
        <v/>
      </c>
      <c r="Z35" t="str">
        <f ca="1"/>
        <v/>
      </c>
    </row>
    <row r="36" spans="2:26">
      <c r="B36" t="str">
        <f ca="1"/>
        <v/>
      </c>
      <c r="C36" t="str">
        <f ca="1"/>
        <v>AD9</v>
      </c>
      <c r="D36" t="str">
        <f ca="1"/>
        <v>AE9</v>
      </c>
      <c r="E36" t="str">
        <f ca="1"/>
        <v>AF9</v>
      </c>
      <c r="F36" t="str">
        <f ca="1"/>
        <v>AG9</v>
      </c>
      <c r="G36" t="str">
        <f ca="1"/>
        <v>AH9</v>
      </c>
      <c r="H36" t="str">
        <f ca="1"/>
        <v>AI9</v>
      </c>
      <c r="I36" t="str">
        <f ca="1"/>
        <v>AJ9</v>
      </c>
      <c r="J36" t="str">
        <f ca="1"/>
        <v>AK9</v>
      </c>
      <c r="K36" t="str">
        <f ca="1"/>
        <v>AL9</v>
      </c>
      <c r="L36" t="str">
        <f ca="1"/>
        <v>AM9</v>
      </c>
      <c r="M36" t="str">
        <f ca="1"/>
        <v>AN9</v>
      </c>
      <c r="N36" t="str">
        <f ca="1"/>
        <v>AO9</v>
      </c>
      <c r="O36" t="str">
        <f ca="1"/>
        <v>AP9</v>
      </c>
      <c r="P36" t="str">
        <f ca="1"/>
        <v>AQ9</v>
      </c>
      <c r="Q36" t="str">
        <f ca="1"/>
        <v>AR9</v>
      </c>
      <c r="R36" t="str">
        <f ca="1"/>
        <v>AS9</v>
      </c>
      <c r="S36" t="str">
        <f ca="1"/>
        <v>AT9</v>
      </c>
      <c r="T36" t="str">
        <f ca="1"/>
        <v>AU9</v>
      </c>
      <c r="U36" t="str">
        <f ca="1"/>
        <v>AV9</v>
      </c>
      <c r="V36" t="str">
        <f ca="1"/>
        <v>AW9</v>
      </c>
      <c r="W36" t="str">
        <f ca="1"/>
        <v>AX9</v>
      </c>
      <c r="X36" t="str">
        <f ca="1"/>
        <v>AY9</v>
      </c>
      <c r="Y36" t="str">
        <f ca="1"/>
        <v>AZ9</v>
      </c>
      <c r="Z36" t="str">
        <f ca="1"/>
        <v/>
      </c>
    </row>
    <row r="37" spans="2:26">
      <c r="B37" t="str">
        <f ca="1"/>
        <v>AC10</v>
      </c>
      <c r="C37" t="str">
        <f ca="1"/>
        <v>AD10</v>
      </c>
      <c r="D37" t="str">
        <f ca="1"/>
        <v>AE10</v>
      </c>
      <c r="E37" t="str">
        <f ca="1"/>
        <v>AF10</v>
      </c>
      <c r="F37" t="str">
        <f ca="1"/>
        <v>AG10</v>
      </c>
      <c r="G37" t="str">
        <f ca="1"/>
        <v>AH10</v>
      </c>
      <c r="H37" t="str">
        <f ca="1"/>
        <v>AI10</v>
      </c>
      <c r="I37" t="str">
        <f ca="1"/>
        <v>AJ10</v>
      </c>
      <c r="J37" t="str">
        <f ca="1"/>
        <v>AK10</v>
      </c>
      <c r="K37" t="str">
        <f ca="1"/>
        <v>AL10</v>
      </c>
      <c r="L37" t="str">
        <f ca="1"/>
        <v>AM10</v>
      </c>
      <c r="M37" t="str">
        <f ca="1"/>
        <v>AN10</v>
      </c>
      <c r="N37" t="str">
        <f ca="1"/>
        <v>AO10</v>
      </c>
      <c r="O37" t="str">
        <f ca="1"/>
        <v>AP10</v>
      </c>
      <c r="P37" t="str">
        <f ca="1"/>
        <v>AQ10</v>
      </c>
      <c r="Q37" t="str">
        <f ca="1"/>
        <v>AR10</v>
      </c>
      <c r="R37" t="str">
        <f ca="1"/>
        <v>AS10</v>
      </c>
      <c r="S37" t="str">
        <f ca="1"/>
        <v>AT10</v>
      </c>
      <c r="T37" t="str">
        <f ca="1"/>
        <v>AU10</v>
      </c>
      <c r="U37" t="str">
        <f ca="1"/>
        <v>AV10</v>
      </c>
      <c r="V37" t="str">
        <f ca="1"/>
        <v>AW10</v>
      </c>
      <c r="W37" t="str">
        <f ca="1"/>
        <v>AX10</v>
      </c>
      <c r="X37" t="str">
        <f ca="1"/>
        <v>AY10</v>
      </c>
      <c r="Y37" t="str">
        <f ca="1"/>
        <v>AZ10</v>
      </c>
      <c r="Z37" t="str">
        <f ca="1"/>
        <v>BA10</v>
      </c>
    </row>
    <row r="38" spans="2:26">
      <c r="B38" t="str">
        <f ca="1"/>
        <v/>
      </c>
      <c r="C38" t="str">
        <f ca="1"/>
        <v>AD11</v>
      </c>
      <c r="D38" t="str">
        <f ca="1"/>
        <v>AE11</v>
      </c>
      <c r="E38" t="str">
        <f ca="1"/>
        <v>AF11</v>
      </c>
      <c r="F38" t="str">
        <f ca="1"/>
        <v>AG11</v>
      </c>
      <c r="G38" t="str">
        <f ca="1"/>
        <v>AH11</v>
      </c>
      <c r="H38" t="str">
        <f ca="1"/>
        <v>AI11</v>
      </c>
      <c r="I38" t="str">
        <f ca="1"/>
        <v>AJ11</v>
      </c>
      <c r="J38" t="str">
        <f ca="1"/>
        <v>AK11</v>
      </c>
      <c r="K38" t="str">
        <f ca="1"/>
        <v>AL11</v>
      </c>
      <c r="L38" t="str">
        <f ca="1"/>
        <v>AM11</v>
      </c>
      <c r="M38" t="str">
        <f ca="1"/>
        <v>AN11</v>
      </c>
      <c r="N38" t="str">
        <f ca="1"/>
        <v>AO11</v>
      </c>
      <c r="O38" t="str">
        <f ca="1"/>
        <v>AP11</v>
      </c>
      <c r="P38" t="str">
        <f ca="1"/>
        <v>AQ11</v>
      </c>
      <c r="Q38" t="str">
        <f ca="1"/>
        <v>AR11</v>
      </c>
      <c r="R38" t="str">
        <f ca="1"/>
        <v>AS11</v>
      </c>
      <c r="S38" t="str">
        <f ca="1"/>
        <v>AT11</v>
      </c>
      <c r="T38" t="str">
        <f ca="1"/>
        <v>AU11</v>
      </c>
      <c r="U38" t="str">
        <f ca="1"/>
        <v>AV11</v>
      </c>
      <c r="V38" t="str">
        <f ca="1"/>
        <v>AW11</v>
      </c>
      <c r="W38" t="str">
        <f ca="1"/>
        <v>AX11</v>
      </c>
      <c r="X38" t="str">
        <f ca="1"/>
        <v>AY11</v>
      </c>
      <c r="Y38" t="str">
        <f ca="1"/>
        <v>AZ11</v>
      </c>
      <c r="Z38" t="str">
        <f ca="1"/>
        <v/>
      </c>
    </row>
    <row r="39" spans="2:26">
      <c r="B39" t="str">
        <f ca="1"/>
        <v/>
      </c>
      <c r="C39" t="str">
        <f ca="1"/>
        <v/>
      </c>
      <c r="D39" t="str">
        <f ca="1"/>
        <v>AE12</v>
      </c>
      <c r="E39" t="str">
        <f ca="1"/>
        <v>AF12</v>
      </c>
      <c r="F39" t="str">
        <f ca="1"/>
        <v>AG12</v>
      </c>
      <c r="G39" t="str">
        <f ca="1"/>
        <v>AH12</v>
      </c>
      <c r="H39" t="str">
        <f ca="1"/>
        <v>AI12</v>
      </c>
      <c r="I39" t="str">
        <f ca="1"/>
        <v>AJ12</v>
      </c>
      <c r="J39" t="str">
        <f ca="1"/>
        <v>AK12</v>
      </c>
      <c r="K39" t="str">
        <f ca="1"/>
        <v>AL12</v>
      </c>
      <c r="L39" t="str">
        <f ca="1"/>
        <v>AM12</v>
      </c>
      <c r="M39" t="str">
        <f ca="1"/>
        <v>AN12</v>
      </c>
      <c r="N39" t="str">
        <f ca="1"/>
        <v>AO12</v>
      </c>
      <c r="O39" t="str">
        <f ca="1"/>
        <v>AP12</v>
      </c>
      <c r="P39" t="str">
        <f ca="1"/>
        <v>AQ12</v>
      </c>
      <c r="Q39" t="str">
        <f ca="1"/>
        <v>AR12</v>
      </c>
      <c r="R39" t="str">
        <f ca="1"/>
        <v>AS12</v>
      </c>
      <c r="S39" t="str">
        <f ca="1"/>
        <v>AT12</v>
      </c>
      <c r="T39" t="str">
        <f ca="1"/>
        <v>AU12</v>
      </c>
      <c r="U39" t="str">
        <f ca="1"/>
        <v>AV12</v>
      </c>
      <c r="V39" t="str">
        <f ca="1"/>
        <v>AW12</v>
      </c>
      <c r="W39" t="str">
        <f ca="1"/>
        <v>AX12</v>
      </c>
      <c r="X39" t="str">
        <f ca="1"/>
        <v>AY12</v>
      </c>
      <c r="Y39" t="str">
        <f ca="1"/>
        <v/>
      </c>
      <c r="Z39" t="str">
        <f ca="1"/>
        <v/>
      </c>
    </row>
    <row r="40" spans="2:26">
      <c r="B40" t="str">
        <f ca="1"/>
        <v/>
      </c>
      <c r="C40" t="str">
        <f ca="1"/>
        <v/>
      </c>
      <c r="D40" t="str">
        <f ca="1"/>
        <v/>
      </c>
      <c r="E40" t="str">
        <f ca="1"/>
        <v>AF13</v>
      </c>
      <c r="F40" t="str">
        <f ca="1"/>
        <v>AG13</v>
      </c>
      <c r="G40" t="str">
        <f ca="1"/>
        <v>AH13</v>
      </c>
      <c r="H40" t="str">
        <f ca="1"/>
        <v>AI13</v>
      </c>
      <c r="I40" t="str">
        <f ca="1"/>
        <v>AJ13</v>
      </c>
      <c r="J40" t="str">
        <f ca="1"/>
        <v>AK13</v>
      </c>
      <c r="K40" t="str">
        <f ca="1"/>
        <v>AL13</v>
      </c>
      <c r="L40" t="str">
        <f ca="1"/>
        <v>AM13</v>
      </c>
      <c r="M40" t="str">
        <f ca="1"/>
        <v>AN13</v>
      </c>
      <c r="N40" t="str">
        <f ca="1"/>
        <v>AO13</v>
      </c>
      <c r="O40" t="str">
        <f ca="1"/>
        <v>AP13</v>
      </c>
      <c r="P40" t="str">
        <f ca="1"/>
        <v>AQ13</v>
      </c>
      <c r="Q40" t="str">
        <f ca="1"/>
        <v>AR13</v>
      </c>
      <c r="R40" t="str">
        <f ca="1"/>
        <v>AS13</v>
      </c>
      <c r="S40" t="str">
        <f ca="1"/>
        <v>AT13</v>
      </c>
      <c r="T40" t="str">
        <f ca="1"/>
        <v>AU13</v>
      </c>
      <c r="U40" t="str">
        <f ca="1"/>
        <v>AV13</v>
      </c>
      <c r="V40" t="str">
        <f ca="1"/>
        <v>AW13</v>
      </c>
      <c r="W40" t="str">
        <f ca="1"/>
        <v>AX13</v>
      </c>
      <c r="X40" t="str">
        <f ca="1"/>
        <v/>
      </c>
      <c r="Y40" t="str">
        <f ca="1"/>
        <v/>
      </c>
      <c r="Z40" t="str">
        <f ca="1"/>
        <v/>
      </c>
    </row>
    <row r="41" spans="2:26">
      <c r="B41" t="str">
        <f ca="1"/>
        <v/>
      </c>
      <c r="C41" t="str">
        <f ca="1"/>
        <v/>
      </c>
      <c r="D41" t="str">
        <f ca="1"/>
        <v/>
      </c>
      <c r="E41" t="str">
        <f ca="1"/>
        <v/>
      </c>
      <c r="F41" t="str">
        <f ca="1"/>
        <v>AG14</v>
      </c>
      <c r="G41" t="str">
        <f ca="1"/>
        <v>AH14</v>
      </c>
      <c r="H41" t="str">
        <f ca="1"/>
        <v>AI14</v>
      </c>
      <c r="I41" t="str">
        <f ca="1"/>
        <v>AJ14</v>
      </c>
      <c r="J41" t="str">
        <f ca="1"/>
        <v>AK14</v>
      </c>
      <c r="K41" t="str">
        <f ca="1"/>
        <v>AL14</v>
      </c>
      <c r="L41" t="str">
        <f ca="1"/>
        <v>AM14</v>
      </c>
      <c r="M41" t="str">
        <f ca="1"/>
        <v>AN14</v>
      </c>
      <c r="N41" t="str">
        <f ca="1"/>
        <v>AO14</v>
      </c>
      <c r="O41" t="str">
        <f ca="1"/>
        <v>AP14</v>
      </c>
      <c r="P41" t="str">
        <f ca="1"/>
        <v>AQ14</v>
      </c>
      <c r="Q41" t="str">
        <f ca="1"/>
        <v>AR14</v>
      </c>
      <c r="R41" t="str">
        <f ca="1"/>
        <v>AS14</v>
      </c>
      <c r="S41" t="str">
        <f ca="1"/>
        <v>AT14</v>
      </c>
      <c r="T41" t="str">
        <f ca="1"/>
        <v>AU14</v>
      </c>
      <c r="U41" t="str">
        <f ca="1"/>
        <v>AV14</v>
      </c>
      <c r="V41" t="str">
        <f ca="1"/>
        <v>AW14</v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</row>
    <row r="42" spans="2:26">
      <c r="B42" t="str">
        <f ca="1"/>
        <v/>
      </c>
      <c r="C42" t="str">
        <f ca="1"/>
        <v/>
      </c>
      <c r="D42" t="str">
        <f ca="1"/>
        <v/>
      </c>
      <c r="E42" t="str">
        <f ca="1"/>
        <v/>
      </c>
      <c r="F42" t="str">
        <f ca="1"/>
        <v/>
      </c>
      <c r="G42" t="str">
        <f ca="1"/>
        <v>AH15</v>
      </c>
      <c r="H42" t="str">
        <f ca="1"/>
        <v>AI15</v>
      </c>
      <c r="I42" t="str">
        <f ca="1"/>
        <v>AJ15</v>
      </c>
      <c r="J42" t="str">
        <f ca="1"/>
        <v>AK15</v>
      </c>
      <c r="K42" t="str">
        <f ca="1"/>
        <v>AL15</v>
      </c>
      <c r="L42" t="str">
        <f ca="1"/>
        <v>AM15</v>
      </c>
      <c r="M42" t="str">
        <f ca="1"/>
        <v>AN15</v>
      </c>
      <c r="N42" t="str">
        <f ca="1"/>
        <v>AO15</v>
      </c>
      <c r="O42" t="str">
        <f ca="1"/>
        <v>AP15</v>
      </c>
      <c r="P42" t="str">
        <f ca="1"/>
        <v>AQ15</v>
      </c>
      <c r="Q42" t="str">
        <f ca="1"/>
        <v>AR15</v>
      </c>
      <c r="R42" t="str">
        <f ca="1"/>
        <v>AS15</v>
      </c>
      <c r="S42" t="str">
        <f ca="1"/>
        <v>AT15</v>
      </c>
      <c r="T42" t="str">
        <f ca="1"/>
        <v>AU15</v>
      </c>
      <c r="U42" t="str">
        <f ca="1"/>
        <v>AV15</v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</row>
    <row r="43" spans="2:26">
      <c r="B43" t="str">
        <f ca="1"/>
        <v/>
      </c>
      <c r="C43" t="str">
        <f ca="1"/>
        <v/>
      </c>
      <c r="D43" t="str">
        <f ca="1"/>
        <v/>
      </c>
      <c r="E43" t="str">
        <f ca="1"/>
        <v/>
      </c>
      <c r="F43" t="str">
        <f ca="1"/>
        <v/>
      </c>
      <c r="G43" t="str">
        <f ca="1"/>
        <v/>
      </c>
      <c r="H43" t="str">
        <f ca="1"/>
        <v>AI16</v>
      </c>
      <c r="I43" t="str">
        <f ca="1"/>
        <v>AJ16</v>
      </c>
      <c r="J43" t="str">
        <f ca="1"/>
        <v>AK16</v>
      </c>
      <c r="K43" t="str">
        <f ca="1"/>
        <v>AL16</v>
      </c>
      <c r="L43" t="str">
        <f ca="1"/>
        <v>AM16</v>
      </c>
      <c r="M43" t="str">
        <f ca="1"/>
        <v>AN16</v>
      </c>
      <c r="N43" t="str">
        <f ca="1"/>
        <v>AO16</v>
      </c>
      <c r="O43" t="str">
        <f ca="1"/>
        <v>AP16</v>
      </c>
      <c r="P43" t="str">
        <f ca="1"/>
        <v>AQ16</v>
      </c>
      <c r="Q43" t="str">
        <f ca="1"/>
        <v>AR16</v>
      </c>
      <c r="R43" t="str">
        <f ca="1"/>
        <v>AS16</v>
      </c>
      <c r="S43" t="str">
        <f ca="1"/>
        <v>AT16</v>
      </c>
      <c r="T43" t="str">
        <f ca="1"/>
        <v>AU16</v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</row>
    <row r="44" spans="2:26">
      <c r="B44" t="str">
        <f ca="1"/>
        <v/>
      </c>
      <c r="C44" t="str">
        <f ca="1"/>
        <v/>
      </c>
      <c r="D44" t="str">
        <f ca="1"/>
        <v/>
      </c>
      <c r="E44" t="str">
        <f ca="1"/>
        <v/>
      </c>
      <c r="F44" t="str">
        <f ca="1"/>
        <v/>
      </c>
      <c r="G44" t="str">
        <f ca="1"/>
        <v/>
      </c>
      <c r="H44" t="str">
        <f ca="1"/>
        <v/>
      </c>
      <c r="I44" t="str">
        <f ca="1"/>
        <v>AJ17</v>
      </c>
      <c r="J44" t="str">
        <f ca="1"/>
        <v>AK17</v>
      </c>
      <c r="K44" t="str">
        <f ca="1"/>
        <v>AL17</v>
      </c>
      <c r="L44" t="str">
        <f ca="1"/>
        <v>AM17</v>
      </c>
      <c r="M44" t="str">
        <f ca="1"/>
        <v>AN17</v>
      </c>
      <c r="N44" t="str">
        <f ca="1"/>
        <v>AO17</v>
      </c>
      <c r="O44" t="str">
        <f ca="1"/>
        <v>AP17</v>
      </c>
      <c r="P44" t="str">
        <f ca="1"/>
        <v>AQ17</v>
      </c>
      <c r="Q44" t="str">
        <f ca="1"/>
        <v>AR17</v>
      </c>
      <c r="R44" t="str">
        <f ca="1"/>
        <v>AS17</v>
      </c>
      <c r="S44" t="str">
        <f ca="1"/>
        <v>AT17</v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</row>
    <row r="45" spans="2:26">
      <c r="B45" t="str">
        <f ca="1"/>
        <v/>
      </c>
      <c r="C45" t="str">
        <f ca="1"/>
        <v/>
      </c>
      <c r="D45" t="str">
        <f ca="1"/>
        <v/>
      </c>
      <c r="E45" t="str">
        <f ca="1"/>
        <v/>
      </c>
      <c r="F45" t="str">
        <f ca="1"/>
        <v/>
      </c>
      <c r="G45" t="str">
        <f ca="1"/>
        <v/>
      </c>
      <c r="H45" t="str">
        <f ca="1"/>
        <v/>
      </c>
      <c r="I45" t="str">
        <f ca="1"/>
        <v/>
      </c>
      <c r="J45" t="str">
        <f ca="1"/>
        <v>AK18</v>
      </c>
      <c r="K45" t="str">
        <f ca="1"/>
        <v>AL18</v>
      </c>
      <c r="L45" t="str">
        <f ca="1"/>
        <v>AM18</v>
      </c>
      <c r="M45" t="str">
        <f ca="1"/>
        <v>AN18</v>
      </c>
      <c r="N45" t="str">
        <f ca="1"/>
        <v>AO18</v>
      </c>
      <c r="O45" t="str">
        <f ca="1"/>
        <v>AP18</v>
      </c>
      <c r="P45" t="str">
        <f ca="1"/>
        <v>AQ18</v>
      </c>
      <c r="Q45" t="str">
        <f ca="1"/>
        <v>AR18</v>
      </c>
      <c r="R45" t="str">
        <f ca="1"/>
        <v>AS18</v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</row>
    <row r="46" spans="2:26">
      <c r="B46" t="str">
        <f ca="1"/>
        <v/>
      </c>
      <c r="C46" t="str">
        <f ca="1"/>
        <v/>
      </c>
      <c r="D46" t="str">
        <f ca="1"/>
        <v/>
      </c>
      <c r="E46" t="str">
        <f ca="1"/>
        <v/>
      </c>
      <c r="F46" t="str">
        <f ca="1"/>
        <v/>
      </c>
      <c r="G46" t="str">
        <f ca="1"/>
        <v/>
      </c>
      <c r="H46" t="str">
        <f ca="1"/>
        <v/>
      </c>
      <c r="I46" t="str">
        <f ca="1"/>
        <v/>
      </c>
      <c r="J46" t="str">
        <f ca="1"/>
        <v/>
      </c>
      <c r="K46" t="str">
        <f ca="1"/>
        <v>AL19</v>
      </c>
      <c r="L46" t="str">
        <f ca="1"/>
        <v>AM19</v>
      </c>
      <c r="M46" t="str">
        <f ca="1"/>
        <v>AN19</v>
      </c>
      <c r="N46" t="str">
        <f ca="1"/>
        <v>AO19</v>
      </c>
      <c r="O46" t="str">
        <f ca="1"/>
        <v>AP19</v>
      </c>
      <c r="P46" t="str">
        <f ca="1"/>
        <v>AQ19</v>
      </c>
      <c r="Q46" t="str">
        <f ca="1"/>
        <v>AR19</v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</row>
    <row r="47" spans="2:26">
      <c r="B47" t="str">
        <f ca="1"/>
        <v/>
      </c>
      <c r="C47" t="str">
        <f ca="1"/>
        <v/>
      </c>
      <c r="D47" t="str">
        <f ca="1"/>
        <v/>
      </c>
      <c r="E47" t="str">
        <f ca="1"/>
        <v/>
      </c>
      <c r="F47" t="str">
        <f ca="1"/>
        <v/>
      </c>
      <c r="G47" t="str">
        <f ca="1"/>
        <v/>
      </c>
      <c r="H47" t="str">
        <f ca="1"/>
        <v/>
      </c>
      <c r="I47" t="str">
        <f ca="1"/>
        <v/>
      </c>
      <c r="J47" t="str">
        <f ca="1"/>
        <v/>
      </c>
      <c r="K47" t="str">
        <f ca="1"/>
        <v/>
      </c>
      <c r="L47" t="str">
        <f ca="1"/>
        <v>AM20</v>
      </c>
      <c r="M47" t="str">
        <f ca="1"/>
        <v>AN20</v>
      </c>
      <c r="N47" t="str">
        <f ca="1"/>
        <v>AO20</v>
      </c>
      <c r="O47" t="str">
        <f ca="1"/>
        <v>AP20</v>
      </c>
      <c r="P47" t="str">
        <f ca="1"/>
        <v>AQ20</v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</row>
    <row r="48" spans="2:26">
      <c r="B48" t="str">
        <f ca="1"/>
        <v/>
      </c>
      <c r="C48" t="str">
        <f ca="1"/>
        <v/>
      </c>
      <c r="D48" t="str">
        <f ca="1"/>
        <v/>
      </c>
      <c r="E48" t="str">
        <f ca="1"/>
        <v/>
      </c>
      <c r="F48" t="str">
        <f ca="1"/>
        <v/>
      </c>
      <c r="G48" t="str">
        <f ca="1"/>
        <v/>
      </c>
      <c r="H48" t="str">
        <f ca="1"/>
        <v/>
      </c>
      <c r="I48" t="str">
        <f ca="1"/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>AN21</v>
      </c>
      <c r="N48" t="str">
        <f ca="1"/>
        <v>AO21</v>
      </c>
      <c r="O48" t="str">
        <f ca="1"/>
        <v>AP21</v>
      </c>
      <c r="P48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</row>
    <row r="49" spans="2:26">
      <c r="B49" t="str">
        <f ca="1"/>
        <v/>
      </c>
      <c r="C49" t="str">
        <f ca="1"/>
        <v/>
      </c>
      <c r="D49" t="str">
        <f ca="1"/>
        <v/>
      </c>
      <c r="E49" t="str">
        <f ca="1"/>
        <v/>
      </c>
      <c r="F49" t="str">
        <f ca="1"/>
        <v/>
      </c>
      <c r="G49" t="str">
        <f ca="1"/>
        <v/>
      </c>
      <c r="H49" t="str">
        <f ca="1"/>
        <v/>
      </c>
      <c r="I49" t="str">
        <f ca="1"/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>AO22</v>
      </c>
      <c r="O49" t="str">
        <f ca="1"/>
        <v/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04B60-F6F9-45F8-8239-464E94C6EDB9}">
  <sheetPr codeName="Sheet4"/>
  <dimension ref="E2:N64"/>
  <sheetViews>
    <sheetView workbookViewId="0">
      <selection activeCell="I27" sqref="I27"/>
    </sheetView>
  </sheetViews>
  <sheetFormatPr defaultRowHeight="15"/>
  <cols>
    <col min="9" max="9" width="46.140625" customWidth="1"/>
    <col min="12" max="12" width="9.42578125" bestFit="1" customWidth="1"/>
    <col min="14" max="14" width="58.7109375" customWidth="1"/>
  </cols>
  <sheetData>
    <row r="2" spans="5:14">
      <c r="H2" s="24" t="s">
        <v>292</v>
      </c>
    </row>
    <row r="3" spans="5:14">
      <c r="H3" s="24" t="s">
        <v>291</v>
      </c>
    </row>
    <row r="4" spans="5:14">
      <c r="H4" s="24" t="s">
        <v>290</v>
      </c>
    </row>
    <row r="5" spans="5:14">
      <c r="E5" cm="1">
        <f t="array" ref="E5:E64">Lz_Sequence(10, 1, -1, 2, 3)</f>
        <v>10</v>
      </c>
    </row>
    <row r="6" spans="5:14">
      <c r="E6">
        <v>10</v>
      </c>
      <c r="H6" t="str" cm="1">
        <f t="array" ref="H6">Lz_LargePlus(H3:H4)</f>
        <v>32164131976480827344966339006041</v>
      </c>
      <c r="N6" t="str" cm="1" vm="1">
        <f t="array" ref="N6">_xlfn._xlws.PY(0,1,H3,H4)</f>
        <v>32164131976480827344966339006041</v>
      </c>
    </row>
    <row r="7" spans="5:14">
      <c r="E7">
        <v>9</v>
      </c>
    </row>
    <row r="8" spans="5:14">
      <c r="E8">
        <v>9</v>
      </c>
      <c r="H8" t="str" cm="1">
        <f t="array" ref="H8">Lz_LargeMult(H3, H4)</f>
        <v>256808525202652468471870844212555156132613155560796198</v>
      </c>
      <c r="N8" t="str" cm="1" vm="2">
        <f t="array" ref="N8">_xlfn._xlws.PY(1,1,H4,H2)</f>
        <v>3.2164131968496514e+28</v>
      </c>
    </row>
    <row r="9" spans="5:14">
      <c r="E9">
        <v>8</v>
      </c>
    </row>
    <row r="10" spans="5:14">
      <c r="E10">
        <v>8</v>
      </c>
    </row>
    <row r="11" spans="5:14">
      <c r="E11">
        <v>7</v>
      </c>
    </row>
    <row r="12" spans="5:14">
      <c r="E12">
        <v>7</v>
      </c>
    </row>
    <row r="13" spans="5:14">
      <c r="E13">
        <v>6</v>
      </c>
      <c r="N13" t="str" cm="1">
        <f t="array" ref="N13">Ha_Num2Word(33)</f>
        <v>thirty-three</v>
      </c>
    </row>
    <row r="14" spans="5:14">
      <c r="E14">
        <v>6</v>
      </c>
      <c r="G14">
        <v>10</v>
      </c>
    </row>
    <row r="15" spans="5:14">
      <c r="E15">
        <v>5</v>
      </c>
      <c r="G15">
        <v>7</v>
      </c>
    </row>
    <row r="16" spans="5:14">
      <c r="E16">
        <v>5</v>
      </c>
    </row>
    <row r="17" spans="5:8">
      <c r="E17">
        <v>4</v>
      </c>
      <c r="H17" t="str" cm="1">
        <f t="array" ref="H17">Lz_LargePower(G14, G15)</f>
        <v>10000000</v>
      </c>
    </row>
    <row r="18" spans="5:8">
      <c r="E18">
        <v>4</v>
      </c>
    </row>
    <row r="19" spans="5:8">
      <c r="E19">
        <v>3</v>
      </c>
    </row>
    <row r="20" spans="5:8">
      <c r="E20">
        <v>3</v>
      </c>
      <c r="H20" t="str" cm="1">
        <f t="array" ref="H20">Lz_LargeCalc(H4, 4, H2)</f>
        <v>32164131968496513468434984354</v>
      </c>
    </row>
    <row r="21" spans="5:8">
      <c r="E21">
        <v>2</v>
      </c>
    </row>
    <row r="22" spans="5:8">
      <c r="E22">
        <v>2</v>
      </c>
    </row>
    <row r="23" spans="5:8">
      <c r="E23">
        <v>1</v>
      </c>
      <c r="H23" t="e" cm="1" vm="3">
        <f t="array" ref="H23">MapBlocker</f>
        <v>#VALUE!</v>
      </c>
    </row>
    <row r="24" spans="5:8">
      <c r="E24">
        <v>1</v>
      </c>
    </row>
    <row r="25" spans="5:8">
      <c r="E25">
        <v>10</v>
      </c>
    </row>
    <row r="26" spans="5:8">
      <c r="E26">
        <v>10</v>
      </c>
      <c r="H26" t="e" cm="1" vm="3">
        <f t="array" ref="H26">Brow</f>
        <v>#VALUE!</v>
      </c>
    </row>
    <row r="27" spans="5:8">
      <c r="E27">
        <v>9</v>
      </c>
    </row>
    <row r="28" spans="5:8">
      <c r="E28">
        <v>9</v>
      </c>
    </row>
    <row r="29" spans="5:8">
      <c r="E29">
        <v>8</v>
      </c>
    </row>
    <row r="30" spans="5:8">
      <c r="E30">
        <v>8</v>
      </c>
    </row>
    <row r="31" spans="5:8">
      <c r="E31">
        <v>7</v>
      </c>
    </row>
    <row r="32" spans="5:8">
      <c r="E32">
        <v>7</v>
      </c>
    </row>
    <row r="33" spans="5:5">
      <c r="E33">
        <v>6</v>
      </c>
    </row>
    <row r="34" spans="5:5">
      <c r="E34">
        <v>6</v>
      </c>
    </row>
    <row r="35" spans="5:5">
      <c r="E35">
        <v>5</v>
      </c>
    </row>
    <row r="36" spans="5:5">
      <c r="E36">
        <v>5</v>
      </c>
    </row>
    <row r="37" spans="5:5">
      <c r="E37">
        <v>4</v>
      </c>
    </row>
    <row r="38" spans="5:5">
      <c r="E38">
        <v>4</v>
      </c>
    </row>
    <row r="39" spans="5:5">
      <c r="E39">
        <v>3</v>
      </c>
    </row>
    <row r="40" spans="5:5">
      <c r="E40">
        <v>3</v>
      </c>
    </row>
    <row r="41" spans="5:5">
      <c r="E41">
        <v>2</v>
      </c>
    </row>
    <row r="42" spans="5:5">
      <c r="E42">
        <v>2</v>
      </c>
    </row>
    <row r="43" spans="5:5">
      <c r="E43">
        <v>1</v>
      </c>
    </row>
    <row r="44" spans="5:5">
      <c r="E44">
        <v>1</v>
      </c>
    </row>
    <row r="45" spans="5:5">
      <c r="E45">
        <v>10</v>
      </c>
    </row>
    <row r="46" spans="5:5">
      <c r="E46">
        <v>10</v>
      </c>
    </row>
    <row r="47" spans="5:5">
      <c r="E47">
        <v>9</v>
      </c>
    </row>
    <row r="48" spans="5:5">
      <c r="E48">
        <v>9</v>
      </c>
    </row>
    <row r="49" spans="5:5">
      <c r="E49">
        <v>8</v>
      </c>
    </row>
    <row r="50" spans="5:5">
      <c r="E50">
        <v>8</v>
      </c>
    </row>
    <row r="51" spans="5:5">
      <c r="E51">
        <v>7</v>
      </c>
    </row>
    <row r="52" spans="5:5">
      <c r="E52">
        <v>7</v>
      </c>
    </row>
    <row r="53" spans="5:5">
      <c r="E53">
        <v>6</v>
      </c>
    </row>
    <row r="54" spans="5:5">
      <c r="E54">
        <v>6</v>
      </c>
    </row>
    <row r="55" spans="5:5">
      <c r="E55">
        <v>5</v>
      </c>
    </row>
    <row r="56" spans="5:5">
      <c r="E56">
        <v>5</v>
      </c>
    </row>
    <row r="57" spans="5:5">
      <c r="E57">
        <v>4</v>
      </c>
    </row>
    <row r="58" spans="5:5">
      <c r="E58">
        <v>4</v>
      </c>
    </row>
    <row r="59" spans="5:5">
      <c r="E59">
        <v>3</v>
      </c>
    </row>
    <row r="60" spans="5:5">
      <c r="E60">
        <v>3</v>
      </c>
    </row>
    <row r="61" spans="5:5">
      <c r="E61">
        <v>2</v>
      </c>
    </row>
    <row r="62" spans="5:5">
      <c r="E62">
        <v>2</v>
      </c>
    </row>
    <row r="63" spans="5:5">
      <c r="E63">
        <v>1</v>
      </c>
    </row>
    <row r="64" spans="5:5">
      <c r="E6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9504-D93C-4F9D-AB67-7600C9C6C450}">
  <sheetPr codeName="Sheet8"/>
  <dimension ref="C4:AA72"/>
  <sheetViews>
    <sheetView workbookViewId="0">
      <selection activeCell="R16" sqref="R16"/>
    </sheetView>
  </sheetViews>
  <sheetFormatPr defaultRowHeight="15"/>
  <sheetData>
    <row r="4" spans="3:27">
      <c r="Q4" s="52" cm="1">
        <f t="array" ref="Q4:Z13">_xlfn.SEQUENCE(10,10)</f>
        <v>1</v>
      </c>
      <c r="R4" s="54">
        <v>2</v>
      </c>
      <c r="S4" s="55">
        <v>3</v>
      </c>
      <c r="T4" s="30">
        <v>4</v>
      </c>
      <c r="U4" s="30">
        <v>5</v>
      </c>
      <c r="V4" s="30">
        <v>6</v>
      </c>
      <c r="W4">
        <v>7</v>
      </c>
      <c r="X4">
        <v>8</v>
      </c>
      <c r="Y4">
        <v>9</v>
      </c>
      <c r="Z4">
        <v>10</v>
      </c>
    </row>
    <row r="5" spans="3:27">
      <c r="C5" cm="1">
        <f t="array" ref="C5:L14">_xlfn.SEQUENCE(10,10)</f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Q5">
        <v>11</v>
      </c>
      <c r="R5" s="54">
        <v>12</v>
      </c>
      <c r="S5" s="56">
        <v>13</v>
      </c>
      <c r="T5" s="31">
        <v>14</v>
      </c>
      <c r="U5" s="31">
        <v>15</v>
      </c>
      <c r="V5" s="31">
        <v>16</v>
      </c>
      <c r="W5" s="29">
        <v>17</v>
      </c>
      <c r="X5" s="29">
        <v>18</v>
      </c>
      <c r="Y5">
        <v>19</v>
      </c>
      <c r="Z5">
        <v>20</v>
      </c>
    </row>
    <row r="6" spans="3:27">
      <c r="C6">
        <v>11</v>
      </c>
      <c r="D6">
        <v>12</v>
      </c>
      <c r="E6">
        <v>13</v>
      </c>
      <c r="F6">
        <v>14</v>
      </c>
      <c r="G6">
        <v>15</v>
      </c>
      <c r="H6">
        <v>16</v>
      </c>
      <c r="I6">
        <v>17</v>
      </c>
      <c r="J6">
        <v>18</v>
      </c>
      <c r="K6">
        <v>19</v>
      </c>
      <c r="L6">
        <v>20</v>
      </c>
      <c r="Q6">
        <v>21</v>
      </c>
      <c r="R6" s="25">
        <v>22</v>
      </c>
      <c r="S6" s="32">
        <v>23</v>
      </c>
      <c r="T6" s="32">
        <v>24</v>
      </c>
      <c r="U6" s="31">
        <v>25</v>
      </c>
      <c r="V6" s="31">
        <v>26</v>
      </c>
      <c r="W6" s="29">
        <v>27</v>
      </c>
      <c r="X6" s="29">
        <v>28</v>
      </c>
      <c r="Y6">
        <v>29</v>
      </c>
      <c r="Z6">
        <v>30</v>
      </c>
    </row>
    <row r="7" spans="3:27">
      <c r="C7">
        <v>21</v>
      </c>
      <c r="D7">
        <v>22</v>
      </c>
      <c r="E7">
        <v>23</v>
      </c>
      <c r="F7">
        <v>24</v>
      </c>
      <c r="G7">
        <v>25</v>
      </c>
      <c r="H7">
        <v>26</v>
      </c>
      <c r="I7">
        <v>27</v>
      </c>
      <c r="J7">
        <v>28</v>
      </c>
      <c r="K7">
        <v>29</v>
      </c>
      <c r="L7">
        <v>30</v>
      </c>
      <c r="Q7">
        <v>31</v>
      </c>
      <c r="R7" s="25">
        <v>32</v>
      </c>
      <c r="S7" s="32">
        <v>33</v>
      </c>
      <c r="T7" s="32">
        <v>34</v>
      </c>
      <c r="U7" s="31">
        <v>35</v>
      </c>
      <c r="V7" s="33">
        <v>36</v>
      </c>
      <c r="W7" s="36">
        <v>37</v>
      </c>
      <c r="X7" s="37">
        <v>38</v>
      </c>
      <c r="Y7" s="38">
        <v>39</v>
      </c>
      <c r="Z7">
        <v>40</v>
      </c>
    </row>
    <row r="8" spans="3:27" ht="15.75" thickBot="1">
      <c r="C8">
        <v>31</v>
      </c>
      <c r="D8">
        <v>32</v>
      </c>
      <c r="E8">
        <v>33</v>
      </c>
      <c r="F8">
        <v>34</v>
      </c>
      <c r="G8">
        <v>35</v>
      </c>
      <c r="H8">
        <v>36</v>
      </c>
      <c r="I8">
        <v>37</v>
      </c>
      <c r="J8">
        <v>38</v>
      </c>
      <c r="K8">
        <v>39</v>
      </c>
      <c r="L8">
        <v>40</v>
      </c>
      <c r="Q8">
        <v>41</v>
      </c>
      <c r="R8" s="25">
        <v>42</v>
      </c>
      <c r="S8" s="27">
        <v>43</v>
      </c>
      <c r="T8" s="27">
        <v>44</v>
      </c>
      <c r="U8" s="26">
        <v>45</v>
      </c>
      <c r="V8" s="28">
        <v>46</v>
      </c>
      <c r="W8" s="39">
        <v>47</v>
      </c>
      <c r="X8">
        <v>48</v>
      </c>
      <c r="Y8" s="40">
        <v>49</v>
      </c>
      <c r="Z8">
        <v>50</v>
      </c>
    </row>
    <row r="9" spans="3:27">
      <c r="C9">
        <v>41</v>
      </c>
      <c r="D9">
        <v>42</v>
      </c>
      <c r="E9">
        <v>43</v>
      </c>
      <c r="F9">
        <v>44</v>
      </c>
      <c r="G9">
        <v>45</v>
      </c>
      <c r="H9">
        <v>46</v>
      </c>
      <c r="I9">
        <v>47</v>
      </c>
      <c r="J9">
        <v>48</v>
      </c>
      <c r="K9">
        <v>49</v>
      </c>
      <c r="L9">
        <v>50</v>
      </c>
      <c r="Q9" s="34">
        <v>51</v>
      </c>
      <c r="R9" s="35">
        <v>52</v>
      </c>
      <c r="S9" s="35">
        <v>53</v>
      </c>
      <c r="T9" s="25">
        <v>54</v>
      </c>
      <c r="U9">
        <v>55</v>
      </c>
      <c r="V9" s="23">
        <v>56</v>
      </c>
      <c r="W9" s="39">
        <v>57</v>
      </c>
      <c r="X9" s="43">
        <v>58</v>
      </c>
      <c r="Y9" s="44">
        <v>59</v>
      </c>
      <c r="Z9" s="45">
        <v>60</v>
      </c>
    </row>
    <row r="10" spans="3:27">
      <c r="C10">
        <v>51</v>
      </c>
      <c r="D10">
        <v>52</v>
      </c>
      <c r="E10">
        <v>53</v>
      </c>
      <c r="F10">
        <v>54</v>
      </c>
      <c r="G10">
        <v>55</v>
      </c>
      <c r="H10">
        <v>56</v>
      </c>
      <c r="I10">
        <v>57</v>
      </c>
      <c r="J10">
        <v>58</v>
      </c>
      <c r="K10">
        <v>59</v>
      </c>
      <c r="L10">
        <v>60</v>
      </c>
      <c r="Q10" s="34">
        <v>61</v>
      </c>
      <c r="R10" s="34">
        <v>62</v>
      </c>
      <c r="S10" s="34">
        <v>63</v>
      </c>
      <c r="T10">
        <v>64</v>
      </c>
      <c r="U10">
        <v>65</v>
      </c>
      <c r="V10" s="23">
        <v>66</v>
      </c>
      <c r="W10" s="39">
        <v>67</v>
      </c>
      <c r="X10" s="46">
        <v>68</v>
      </c>
      <c r="Y10" s="40">
        <v>69</v>
      </c>
      <c r="Z10" s="47">
        <v>70</v>
      </c>
    </row>
    <row r="11" spans="3:27">
      <c r="C11">
        <v>61</v>
      </c>
      <c r="D11">
        <v>62</v>
      </c>
      <c r="E11">
        <v>63</v>
      </c>
      <c r="F11">
        <v>64</v>
      </c>
      <c r="G11">
        <v>65</v>
      </c>
      <c r="H11">
        <v>66</v>
      </c>
      <c r="I11">
        <v>67</v>
      </c>
      <c r="J11">
        <v>68</v>
      </c>
      <c r="K11">
        <v>69</v>
      </c>
      <c r="L11">
        <v>70</v>
      </c>
      <c r="Q11" s="34">
        <v>71</v>
      </c>
      <c r="R11" s="34">
        <v>72</v>
      </c>
      <c r="S11" s="34">
        <v>73</v>
      </c>
      <c r="T11" s="53">
        <v>74</v>
      </c>
      <c r="U11" s="53">
        <v>75</v>
      </c>
      <c r="V11">
        <v>76</v>
      </c>
      <c r="W11" s="41">
        <v>77</v>
      </c>
      <c r="X11" s="48">
        <v>78</v>
      </c>
      <c r="Y11" s="42">
        <v>79</v>
      </c>
      <c r="Z11" s="47">
        <v>80</v>
      </c>
    </row>
    <row r="12" spans="3:27" ht="15.75" thickBot="1">
      <c r="C12">
        <v>71</v>
      </c>
      <c r="D12">
        <v>72</v>
      </c>
      <c r="E12">
        <v>73</v>
      </c>
      <c r="F12">
        <v>74</v>
      </c>
      <c r="G12">
        <v>75</v>
      </c>
      <c r="H12">
        <v>76</v>
      </c>
      <c r="I12">
        <v>77</v>
      </c>
      <c r="J12">
        <v>78</v>
      </c>
      <c r="K12">
        <v>79</v>
      </c>
      <c r="L12">
        <v>80</v>
      </c>
      <c r="Q12" s="34">
        <v>81</v>
      </c>
      <c r="R12" s="34">
        <v>82</v>
      </c>
      <c r="S12" s="34">
        <v>83</v>
      </c>
      <c r="T12" s="53">
        <v>84</v>
      </c>
      <c r="U12" s="53">
        <v>85</v>
      </c>
      <c r="V12">
        <v>86</v>
      </c>
      <c r="W12">
        <v>87</v>
      </c>
      <c r="X12" s="49">
        <v>88</v>
      </c>
      <c r="Y12" s="50">
        <v>89</v>
      </c>
      <c r="Z12" s="51">
        <v>90</v>
      </c>
    </row>
    <row r="13" spans="3:27">
      <c r="C13">
        <v>81</v>
      </c>
      <c r="D13">
        <v>82</v>
      </c>
      <c r="E13">
        <v>83</v>
      </c>
      <c r="F13">
        <v>84</v>
      </c>
      <c r="G13">
        <v>85</v>
      </c>
      <c r="H13">
        <v>86</v>
      </c>
      <c r="I13">
        <v>87</v>
      </c>
      <c r="J13">
        <v>88</v>
      </c>
      <c r="K13">
        <v>89</v>
      </c>
      <c r="L13">
        <v>90</v>
      </c>
      <c r="Q13">
        <v>91</v>
      </c>
      <c r="R13">
        <v>92</v>
      </c>
      <c r="S13">
        <v>93</v>
      </c>
      <c r="T13" s="53">
        <v>94</v>
      </c>
      <c r="U13" s="53">
        <v>95</v>
      </c>
      <c r="V13">
        <v>96</v>
      </c>
      <c r="W13">
        <v>97</v>
      </c>
      <c r="X13">
        <v>98</v>
      </c>
      <c r="Y13">
        <v>99</v>
      </c>
      <c r="Z13">
        <v>100</v>
      </c>
    </row>
    <row r="14" spans="3:27">
      <c r="C14">
        <v>91</v>
      </c>
      <c r="D14">
        <v>92</v>
      </c>
      <c r="E14">
        <v>93</v>
      </c>
      <c r="F14">
        <v>94</v>
      </c>
      <c r="G14">
        <v>95</v>
      </c>
      <c r="H14">
        <v>96</v>
      </c>
      <c r="I14">
        <v>97</v>
      </c>
      <c r="J14">
        <v>98</v>
      </c>
      <c r="K14">
        <v>99</v>
      </c>
      <c r="L14">
        <v>100</v>
      </c>
    </row>
    <row r="16" spans="3:27">
      <c r="C16" cm="1">
        <f t="array" ref="C16:C35">Lz_Sequence(1,10,,2)</f>
        <v>1</v>
      </c>
      <c r="E16" cm="1">
        <f t="array" ref="E16:E35">_xlfn.LAMBDA(_xlpm.Array,_xlfn.SCAN(0,_xlfn.SEQUENCE(ROWS(_xlfn.TOCOL(_xlpm.Array))),_xlfn.LAMBDA(_xlpm.a,_xlpm.v,SUM(--(_xlfn.TAKE(_xlpm.Array,_xlpm.v)=INDEX(_xlpm.Array,_xlpm.v,1))))))(_xlfn.ANCHORARRAY(C16))</f>
        <v>1</v>
      </c>
      <c r="G16" cm="1">
        <f t="array" ref="G16:G35">_xlfn.LAMBDA(_xlpm.array,_xlop.groups,_xlfn.LET(_xlpm.next,_xlfn.VSTACK("",_xlfn.DROP(_xlpm.array,-1)), IF(_xlpm.groups,_xlfn.LET( _xlpm.s,_xlfn.SCAN(0,_xlpm.array=_xlpm.next,_xlfn.LAMBDA(_xlpm.a,_xlpm.v,IF(_xlpm.v,_xlpm.a,_xlpm.a+1))), _xlpm.gb,_xlfn.GROUPBY(_xlpm.s,_xlpm.array,_xleta.ROWS,0,0), _xlpm.rs,INDEX(_xlpm.gb,_xlpm.s,2),_xlpm.rs), _xlfn.SCAN(1,--(_xlpm.next=_xlpm.array),_xlfn.LAMBDA(_xlpm.a,_xlpm.v,_xlpm.a*_xlpm.v+1)))))(_xlfn.ANCHORARRAY(C16))</f>
        <v>1</v>
      </c>
      <c r="R16" cm="1">
        <f t="array" ref="R16:AA25">VBA_SEQUENCE(10,10)</f>
        <v>1</v>
      </c>
      <c r="S16">
        <v>2</v>
      </c>
      <c r="T16">
        <v>3</v>
      </c>
      <c r="U16">
        <v>4</v>
      </c>
      <c r="V16">
        <v>5</v>
      </c>
      <c r="W16">
        <v>6</v>
      </c>
      <c r="X16">
        <v>7</v>
      </c>
      <c r="Y16">
        <v>8</v>
      </c>
      <c r="Z16">
        <v>9</v>
      </c>
      <c r="AA16">
        <v>10</v>
      </c>
    </row>
    <row r="17" spans="3:27">
      <c r="C17">
        <v>1</v>
      </c>
      <c r="E17">
        <v>2</v>
      </c>
      <c r="G17">
        <v>2</v>
      </c>
      <c r="R17">
        <v>11</v>
      </c>
      <c r="S17">
        <v>12</v>
      </c>
      <c r="T17">
        <v>13</v>
      </c>
      <c r="U17">
        <v>14</v>
      </c>
      <c r="V17">
        <v>15</v>
      </c>
      <c r="W17">
        <v>16</v>
      </c>
      <c r="X17">
        <v>17</v>
      </c>
      <c r="Y17">
        <v>18</v>
      </c>
      <c r="Z17">
        <v>19</v>
      </c>
      <c r="AA17">
        <v>20</v>
      </c>
    </row>
    <row r="18" spans="3:27">
      <c r="C18">
        <v>2</v>
      </c>
      <c r="E18">
        <v>1</v>
      </c>
      <c r="G18">
        <v>1</v>
      </c>
      <c r="R18">
        <v>21</v>
      </c>
      <c r="S18">
        <v>22</v>
      </c>
      <c r="T18">
        <v>23</v>
      </c>
      <c r="U18">
        <v>24</v>
      </c>
      <c r="V18">
        <v>25</v>
      </c>
      <c r="W18">
        <v>26</v>
      </c>
      <c r="X18">
        <v>27</v>
      </c>
      <c r="Y18">
        <v>28</v>
      </c>
      <c r="Z18">
        <v>29</v>
      </c>
      <c r="AA18">
        <v>30</v>
      </c>
    </row>
    <row r="19" spans="3:27">
      <c r="C19">
        <v>2</v>
      </c>
      <c r="E19">
        <v>2</v>
      </c>
      <c r="G19">
        <v>2</v>
      </c>
      <c r="R19">
        <v>31</v>
      </c>
      <c r="S19">
        <v>32</v>
      </c>
      <c r="T19">
        <v>33</v>
      </c>
      <c r="U19">
        <v>34</v>
      </c>
      <c r="V19">
        <v>35</v>
      </c>
      <c r="W19">
        <v>36</v>
      </c>
      <c r="X19">
        <v>37</v>
      </c>
      <c r="Y19">
        <v>38</v>
      </c>
      <c r="Z19">
        <v>39</v>
      </c>
      <c r="AA19">
        <v>40</v>
      </c>
    </row>
    <row r="20" spans="3:27">
      <c r="C20">
        <v>3</v>
      </c>
      <c r="E20">
        <v>1</v>
      </c>
      <c r="G20">
        <v>1</v>
      </c>
      <c r="J20" t="str" cm="1">
        <f t="array" ref="J20:N72">CardDetails()</f>
        <v>Card</v>
      </c>
      <c r="K20" t="str">
        <v>Colour</v>
      </c>
      <c r="L20" t="str">
        <v>Suit</v>
      </c>
      <c r="M20" t="str">
        <v>Value</v>
      </c>
      <c r="N20" t="str">
        <v>Suit Symbol</v>
      </c>
      <c r="R20">
        <v>41</v>
      </c>
      <c r="S20">
        <v>42</v>
      </c>
      <c r="T20">
        <v>43</v>
      </c>
      <c r="U20">
        <v>44</v>
      </c>
      <c r="V20">
        <v>45</v>
      </c>
      <c r="W20">
        <v>46</v>
      </c>
      <c r="X20">
        <v>47</v>
      </c>
      <c r="Y20">
        <v>48</v>
      </c>
      <c r="Z20">
        <v>49</v>
      </c>
      <c r="AA20">
        <v>50</v>
      </c>
    </row>
    <row r="21" spans="3:27">
      <c r="C21">
        <v>3</v>
      </c>
      <c r="E21">
        <v>2</v>
      </c>
      <c r="G21">
        <v>2</v>
      </c>
      <c r="J21" t="str">
        <v>A♠</v>
      </c>
      <c r="K21" t="str">
        <v>Black</v>
      </c>
      <c r="L21" t="str">
        <v>Spades</v>
      </c>
      <c r="M21">
        <v>1</v>
      </c>
      <c r="N21" t="str">
        <v>♠</v>
      </c>
      <c r="R21">
        <v>51</v>
      </c>
      <c r="S21">
        <v>52</v>
      </c>
      <c r="T21">
        <v>53</v>
      </c>
      <c r="U21">
        <v>54</v>
      </c>
      <c r="V21">
        <v>55</v>
      </c>
      <c r="W21">
        <v>56</v>
      </c>
      <c r="X21">
        <v>57</v>
      </c>
      <c r="Y21">
        <v>58</v>
      </c>
      <c r="Z21">
        <v>59</v>
      </c>
      <c r="AA21">
        <v>60</v>
      </c>
    </row>
    <row r="22" spans="3:27">
      <c r="C22">
        <v>4</v>
      </c>
      <c r="E22">
        <v>1</v>
      </c>
      <c r="G22">
        <v>1</v>
      </c>
      <c r="J22" t="str">
        <v>2♠</v>
      </c>
      <c r="K22" t="str">
        <v>Black</v>
      </c>
      <c r="L22" t="str">
        <v>Spades</v>
      </c>
      <c r="M22">
        <v>2</v>
      </c>
      <c r="N22" t="str">
        <v>♠</v>
      </c>
      <c r="R22">
        <v>61</v>
      </c>
      <c r="S22">
        <v>62</v>
      </c>
      <c r="T22">
        <v>63</v>
      </c>
      <c r="U22">
        <v>64</v>
      </c>
      <c r="V22">
        <v>65</v>
      </c>
      <c r="W22">
        <v>66</v>
      </c>
      <c r="X22">
        <v>67</v>
      </c>
      <c r="Y22">
        <v>68</v>
      </c>
      <c r="Z22">
        <v>69</v>
      </c>
      <c r="AA22">
        <v>70</v>
      </c>
    </row>
    <row r="23" spans="3:27">
      <c r="C23">
        <v>4</v>
      </c>
      <c r="E23">
        <v>2</v>
      </c>
      <c r="G23">
        <v>2</v>
      </c>
      <c r="J23" t="str">
        <v>3♠</v>
      </c>
      <c r="K23" t="str">
        <v>Black</v>
      </c>
      <c r="L23" t="str">
        <v>Spades</v>
      </c>
      <c r="M23">
        <v>3</v>
      </c>
      <c r="N23" t="str">
        <v>♠</v>
      </c>
      <c r="R23">
        <v>71</v>
      </c>
      <c r="S23">
        <v>72</v>
      </c>
      <c r="T23">
        <v>73</v>
      </c>
      <c r="U23">
        <v>74</v>
      </c>
      <c r="V23">
        <v>75</v>
      </c>
      <c r="W23">
        <v>76</v>
      </c>
      <c r="X23">
        <v>77</v>
      </c>
      <c r="Y23">
        <v>78</v>
      </c>
      <c r="Z23">
        <v>79</v>
      </c>
      <c r="AA23">
        <v>80</v>
      </c>
    </row>
    <row r="24" spans="3:27">
      <c r="C24">
        <v>5</v>
      </c>
      <c r="E24">
        <v>1</v>
      </c>
      <c r="G24">
        <v>1</v>
      </c>
      <c r="J24" t="str">
        <v>4♠</v>
      </c>
      <c r="K24" t="str">
        <v>Black</v>
      </c>
      <c r="L24" t="str">
        <v>Spades</v>
      </c>
      <c r="M24">
        <v>4</v>
      </c>
      <c r="N24" t="str">
        <v>♠</v>
      </c>
      <c r="R24">
        <v>81</v>
      </c>
      <c r="S24">
        <v>82</v>
      </c>
      <c r="T24">
        <v>83</v>
      </c>
      <c r="U24">
        <v>84</v>
      </c>
      <c r="V24">
        <v>85</v>
      </c>
      <c r="W24">
        <v>86</v>
      </c>
      <c r="X24">
        <v>87</v>
      </c>
      <c r="Y24">
        <v>88</v>
      </c>
      <c r="Z24">
        <v>89</v>
      </c>
      <c r="AA24">
        <v>90</v>
      </c>
    </row>
    <row r="25" spans="3:27">
      <c r="C25">
        <v>5</v>
      </c>
      <c r="E25">
        <v>2</v>
      </c>
      <c r="G25">
        <v>2</v>
      </c>
      <c r="J25" t="str">
        <v>5♠</v>
      </c>
      <c r="K25" t="str">
        <v>Black</v>
      </c>
      <c r="L25" t="str">
        <v>Spades</v>
      </c>
      <c r="M25">
        <v>5</v>
      </c>
      <c r="N25" t="str">
        <v>♠</v>
      </c>
      <c r="R25">
        <v>91</v>
      </c>
      <c r="S25">
        <v>92</v>
      </c>
      <c r="T25">
        <v>93</v>
      </c>
      <c r="U25">
        <v>94</v>
      </c>
      <c r="V25">
        <v>95</v>
      </c>
      <c r="W25">
        <v>96</v>
      </c>
      <c r="X25">
        <v>97</v>
      </c>
      <c r="Y25">
        <v>98</v>
      </c>
      <c r="Z25">
        <v>99</v>
      </c>
      <c r="AA25">
        <v>100</v>
      </c>
    </row>
    <row r="26" spans="3:27">
      <c r="C26">
        <v>6</v>
      </c>
      <c r="E26">
        <v>1</v>
      </c>
      <c r="G26">
        <v>1</v>
      </c>
      <c r="J26" t="str">
        <v>6♠</v>
      </c>
      <c r="K26" t="str">
        <v>Black</v>
      </c>
      <c r="L26" t="str">
        <v>Spades</v>
      </c>
      <c r="M26">
        <v>6</v>
      </c>
      <c r="N26" t="str">
        <v>♠</v>
      </c>
    </row>
    <row r="27" spans="3:27">
      <c r="C27">
        <v>6</v>
      </c>
      <c r="E27">
        <v>2</v>
      </c>
      <c r="G27">
        <v>2</v>
      </c>
      <c r="J27" t="str">
        <v>7♠</v>
      </c>
      <c r="K27" t="str">
        <v>Black</v>
      </c>
      <c r="L27" t="str">
        <v>Spades</v>
      </c>
      <c r="M27">
        <v>7</v>
      </c>
      <c r="N27" t="str">
        <v>♠</v>
      </c>
    </row>
    <row r="28" spans="3:27">
      <c r="C28">
        <v>7</v>
      </c>
      <c r="E28">
        <v>1</v>
      </c>
      <c r="G28">
        <v>1</v>
      </c>
      <c r="J28" t="str">
        <v>8♠</v>
      </c>
      <c r="K28" t="str">
        <v>Black</v>
      </c>
      <c r="L28" t="str">
        <v>Spades</v>
      </c>
      <c r="M28">
        <v>8</v>
      </c>
      <c r="N28" t="str">
        <v>♠</v>
      </c>
    </row>
    <row r="29" spans="3:27">
      <c r="C29">
        <v>7</v>
      </c>
      <c r="E29">
        <v>2</v>
      </c>
      <c r="G29">
        <v>2</v>
      </c>
      <c r="J29" t="str">
        <v>9♠</v>
      </c>
      <c r="K29" t="str">
        <v>Black</v>
      </c>
      <c r="L29" t="str">
        <v>Spades</v>
      </c>
      <c r="M29">
        <v>9</v>
      </c>
      <c r="N29" t="str">
        <v>♠</v>
      </c>
    </row>
    <row r="30" spans="3:27">
      <c r="C30">
        <v>8</v>
      </c>
      <c r="E30">
        <v>1</v>
      </c>
      <c r="G30">
        <v>1</v>
      </c>
      <c r="J30" t="str">
        <v>10♠</v>
      </c>
      <c r="K30" t="str">
        <v>Black</v>
      </c>
      <c r="L30" t="str">
        <v>Spades</v>
      </c>
      <c r="M30">
        <v>10</v>
      </c>
      <c r="N30" t="str">
        <v>♠</v>
      </c>
    </row>
    <row r="31" spans="3:27">
      <c r="C31">
        <v>8</v>
      </c>
      <c r="E31">
        <v>2</v>
      </c>
      <c r="G31">
        <v>2</v>
      </c>
      <c r="J31" t="str">
        <v>J♠</v>
      </c>
      <c r="K31" t="str">
        <v>Black</v>
      </c>
      <c r="L31" t="str">
        <v>Spades</v>
      </c>
      <c r="M31">
        <v>11</v>
      </c>
      <c r="N31" t="str">
        <v>♠</v>
      </c>
    </row>
    <row r="32" spans="3:27">
      <c r="C32">
        <v>9</v>
      </c>
      <c r="E32">
        <v>1</v>
      </c>
      <c r="G32">
        <v>1</v>
      </c>
      <c r="J32" t="str">
        <v>Q♠</v>
      </c>
      <c r="K32" t="str">
        <v>Black</v>
      </c>
      <c r="L32" t="str">
        <v>Spades</v>
      </c>
      <c r="M32">
        <v>12</v>
      </c>
      <c r="N32" t="str">
        <v>♠</v>
      </c>
    </row>
    <row r="33" spans="3:14">
      <c r="C33">
        <v>9</v>
      </c>
      <c r="E33">
        <v>2</v>
      </c>
      <c r="G33">
        <v>2</v>
      </c>
      <c r="J33" t="str">
        <v>K♠</v>
      </c>
      <c r="K33" t="str">
        <v>Black</v>
      </c>
      <c r="L33" t="str">
        <v>Spades</v>
      </c>
      <c r="M33">
        <v>13</v>
      </c>
      <c r="N33" t="str">
        <v>♠</v>
      </c>
    </row>
    <row r="34" spans="3:14">
      <c r="C34">
        <v>10</v>
      </c>
      <c r="E34">
        <v>1</v>
      </c>
      <c r="G34">
        <v>1</v>
      </c>
      <c r="J34" t="str">
        <v>A♣</v>
      </c>
      <c r="K34" t="str">
        <v>Black</v>
      </c>
      <c r="L34" t="str">
        <v>Clubs</v>
      </c>
      <c r="M34">
        <v>1</v>
      </c>
      <c r="N34" t="str">
        <v>♣</v>
      </c>
    </row>
    <row r="35" spans="3:14">
      <c r="C35">
        <v>10</v>
      </c>
      <c r="E35">
        <v>2</v>
      </c>
      <c r="G35">
        <v>2</v>
      </c>
      <c r="J35" t="str">
        <v>2♣</v>
      </c>
      <c r="K35" t="str">
        <v>Black</v>
      </c>
      <c r="L35" t="str">
        <v>Clubs</v>
      </c>
      <c r="M35">
        <v>2</v>
      </c>
      <c r="N35" t="str">
        <v>♣</v>
      </c>
    </row>
    <row r="36" spans="3:14">
      <c r="J36" t="str">
        <v>3♣</v>
      </c>
      <c r="K36" t="str">
        <v>Black</v>
      </c>
      <c r="L36" t="str">
        <v>Clubs</v>
      </c>
      <c r="M36">
        <v>3</v>
      </c>
      <c r="N36" t="str">
        <v>♣</v>
      </c>
    </row>
    <row r="37" spans="3:14">
      <c r="J37" t="str">
        <v>4♣</v>
      </c>
      <c r="K37" t="str">
        <v>Black</v>
      </c>
      <c r="L37" t="str">
        <v>Clubs</v>
      </c>
      <c r="M37">
        <v>4</v>
      </c>
      <c r="N37" t="str">
        <v>♣</v>
      </c>
    </row>
    <row r="38" spans="3:14">
      <c r="J38" t="str">
        <v>5♣</v>
      </c>
      <c r="K38" t="str">
        <v>Black</v>
      </c>
      <c r="L38" t="str">
        <v>Clubs</v>
      </c>
      <c r="M38">
        <v>5</v>
      </c>
      <c r="N38" t="str">
        <v>♣</v>
      </c>
    </row>
    <row r="39" spans="3:14">
      <c r="J39" t="str">
        <v>6♣</v>
      </c>
      <c r="K39" t="str">
        <v>Black</v>
      </c>
      <c r="L39" t="str">
        <v>Clubs</v>
      </c>
      <c r="M39">
        <v>6</v>
      </c>
      <c r="N39" t="str">
        <v>♣</v>
      </c>
    </row>
    <row r="40" spans="3:14">
      <c r="J40" t="str">
        <v>7♣</v>
      </c>
      <c r="K40" t="str">
        <v>Black</v>
      </c>
      <c r="L40" t="str">
        <v>Clubs</v>
      </c>
      <c r="M40">
        <v>7</v>
      </c>
      <c r="N40" t="str">
        <v>♣</v>
      </c>
    </row>
    <row r="41" spans="3:14">
      <c r="J41" t="str">
        <v>8♣</v>
      </c>
      <c r="K41" t="str">
        <v>Black</v>
      </c>
      <c r="L41" t="str">
        <v>Clubs</v>
      </c>
      <c r="M41">
        <v>8</v>
      </c>
      <c r="N41" t="str">
        <v>♣</v>
      </c>
    </row>
    <row r="42" spans="3:14">
      <c r="J42" t="str">
        <v>9♣</v>
      </c>
      <c r="K42" t="str">
        <v>Black</v>
      </c>
      <c r="L42" t="str">
        <v>Clubs</v>
      </c>
      <c r="M42">
        <v>9</v>
      </c>
      <c r="N42" t="str">
        <v>♣</v>
      </c>
    </row>
    <row r="43" spans="3:14">
      <c r="J43" t="str">
        <v>10♣</v>
      </c>
      <c r="K43" t="str">
        <v>Black</v>
      </c>
      <c r="L43" t="str">
        <v>Clubs</v>
      </c>
      <c r="M43">
        <v>10</v>
      </c>
      <c r="N43" t="str">
        <v>♣</v>
      </c>
    </row>
    <row r="44" spans="3:14">
      <c r="J44" t="str">
        <v>J♣</v>
      </c>
      <c r="K44" t="str">
        <v>Black</v>
      </c>
      <c r="L44" t="str">
        <v>Clubs</v>
      </c>
      <c r="M44">
        <v>11</v>
      </c>
      <c r="N44" t="str">
        <v>♣</v>
      </c>
    </row>
    <row r="45" spans="3:14">
      <c r="J45" t="str">
        <v>Q♣</v>
      </c>
      <c r="K45" t="str">
        <v>Black</v>
      </c>
      <c r="L45" t="str">
        <v>Clubs</v>
      </c>
      <c r="M45">
        <v>12</v>
      </c>
      <c r="N45" t="str">
        <v>♣</v>
      </c>
    </row>
    <row r="46" spans="3:14">
      <c r="J46" t="str">
        <v>K♣</v>
      </c>
      <c r="K46" t="str">
        <v>Black</v>
      </c>
      <c r="L46" t="str">
        <v>Clubs</v>
      </c>
      <c r="M46">
        <v>13</v>
      </c>
      <c r="N46" t="str">
        <v>♣</v>
      </c>
    </row>
    <row r="47" spans="3:14">
      <c r="J47" t="str">
        <v>A♥</v>
      </c>
      <c r="K47" t="str">
        <v>Red</v>
      </c>
      <c r="L47" t="str">
        <v>Hearts</v>
      </c>
      <c r="M47">
        <v>1</v>
      </c>
      <c r="N47" t="str">
        <v>♥</v>
      </c>
    </row>
    <row r="48" spans="3:14">
      <c r="J48" t="str">
        <v>2♥</v>
      </c>
      <c r="K48" t="str">
        <v>Red</v>
      </c>
      <c r="L48" t="str">
        <v>Hearts</v>
      </c>
      <c r="M48">
        <v>2</v>
      </c>
      <c r="N48" t="str">
        <v>♥</v>
      </c>
    </row>
    <row r="49" spans="10:14">
      <c r="J49" t="str">
        <v>3♥</v>
      </c>
      <c r="K49" t="str">
        <v>Red</v>
      </c>
      <c r="L49" t="str">
        <v>Hearts</v>
      </c>
      <c r="M49">
        <v>3</v>
      </c>
      <c r="N49" t="str">
        <v>♥</v>
      </c>
    </row>
    <row r="50" spans="10:14">
      <c r="J50" t="str">
        <v>4♥</v>
      </c>
      <c r="K50" t="str">
        <v>Red</v>
      </c>
      <c r="L50" t="str">
        <v>Hearts</v>
      </c>
      <c r="M50">
        <v>4</v>
      </c>
      <c r="N50" t="str">
        <v>♥</v>
      </c>
    </row>
    <row r="51" spans="10:14">
      <c r="J51" t="str">
        <v>5♥</v>
      </c>
      <c r="K51" t="str">
        <v>Red</v>
      </c>
      <c r="L51" t="str">
        <v>Hearts</v>
      </c>
      <c r="M51">
        <v>5</v>
      </c>
      <c r="N51" t="str">
        <v>♥</v>
      </c>
    </row>
    <row r="52" spans="10:14">
      <c r="J52" t="str">
        <v>6♥</v>
      </c>
      <c r="K52" t="str">
        <v>Red</v>
      </c>
      <c r="L52" t="str">
        <v>Hearts</v>
      </c>
      <c r="M52">
        <v>6</v>
      </c>
      <c r="N52" t="str">
        <v>♥</v>
      </c>
    </row>
    <row r="53" spans="10:14">
      <c r="J53" t="str">
        <v>7♥</v>
      </c>
      <c r="K53" t="str">
        <v>Red</v>
      </c>
      <c r="L53" t="str">
        <v>Hearts</v>
      </c>
      <c r="M53">
        <v>7</v>
      </c>
      <c r="N53" t="str">
        <v>♥</v>
      </c>
    </row>
    <row r="54" spans="10:14">
      <c r="J54" t="str">
        <v>8♥</v>
      </c>
      <c r="K54" t="str">
        <v>Red</v>
      </c>
      <c r="L54" t="str">
        <v>Hearts</v>
      </c>
      <c r="M54">
        <v>8</v>
      </c>
      <c r="N54" t="str">
        <v>♥</v>
      </c>
    </row>
    <row r="55" spans="10:14">
      <c r="J55" t="str">
        <v>9♥</v>
      </c>
      <c r="K55" t="str">
        <v>Red</v>
      </c>
      <c r="L55" t="str">
        <v>Hearts</v>
      </c>
      <c r="M55">
        <v>9</v>
      </c>
      <c r="N55" t="str">
        <v>♥</v>
      </c>
    </row>
    <row r="56" spans="10:14">
      <c r="J56" t="str">
        <v>10♥</v>
      </c>
      <c r="K56" t="str">
        <v>Red</v>
      </c>
      <c r="L56" t="str">
        <v>Hearts</v>
      </c>
      <c r="M56">
        <v>10</v>
      </c>
      <c r="N56" t="str">
        <v>♥</v>
      </c>
    </row>
    <row r="57" spans="10:14">
      <c r="J57" t="str">
        <v>J♥</v>
      </c>
      <c r="K57" t="str">
        <v>Red</v>
      </c>
      <c r="L57" t="str">
        <v>Hearts</v>
      </c>
      <c r="M57">
        <v>11</v>
      </c>
      <c r="N57" t="str">
        <v>♥</v>
      </c>
    </row>
    <row r="58" spans="10:14">
      <c r="J58" t="str">
        <v>Q♥</v>
      </c>
      <c r="K58" t="str">
        <v>Red</v>
      </c>
      <c r="L58" t="str">
        <v>Hearts</v>
      </c>
      <c r="M58">
        <v>12</v>
      </c>
      <c r="N58" t="str">
        <v>♥</v>
      </c>
    </row>
    <row r="59" spans="10:14">
      <c r="J59" t="str">
        <v>K♥</v>
      </c>
      <c r="K59" t="str">
        <v>Red</v>
      </c>
      <c r="L59" t="str">
        <v>Hearts</v>
      </c>
      <c r="M59">
        <v>13</v>
      </c>
      <c r="N59" t="str">
        <v>♥</v>
      </c>
    </row>
    <row r="60" spans="10:14">
      <c r="J60" t="str">
        <v>A♦</v>
      </c>
      <c r="K60" t="str">
        <v>Red</v>
      </c>
      <c r="L60" t="str">
        <v>Diamonds</v>
      </c>
      <c r="M60">
        <v>1</v>
      </c>
      <c r="N60" t="str">
        <v>♦</v>
      </c>
    </row>
    <row r="61" spans="10:14">
      <c r="J61" t="str">
        <v>2♦</v>
      </c>
      <c r="K61" t="str">
        <v>Red</v>
      </c>
      <c r="L61" t="str">
        <v>Diamonds</v>
      </c>
      <c r="M61">
        <v>2</v>
      </c>
      <c r="N61" t="str">
        <v>♦</v>
      </c>
    </row>
    <row r="62" spans="10:14">
      <c r="J62" t="str">
        <v>3♦</v>
      </c>
      <c r="K62" t="str">
        <v>Red</v>
      </c>
      <c r="L62" t="str">
        <v>Diamonds</v>
      </c>
      <c r="M62">
        <v>3</v>
      </c>
      <c r="N62" t="str">
        <v>♦</v>
      </c>
    </row>
    <row r="63" spans="10:14">
      <c r="J63" t="str">
        <v>4♦</v>
      </c>
      <c r="K63" t="str">
        <v>Red</v>
      </c>
      <c r="L63" t="str">
        <v>Diamonds</v>
      </c>
      <c r="M63">
        <v>4</v>
      </c>
      <c r="N63" t="str">
        <v>♦</v>
      </c>
    </row>
    <row r="64" spans="10:14">
      <c r="J64" t="str">
        <v>5♦</v>
      </c>
      <c r="K64" t="str">
        <v>Red</v>
      </c>
      <c r="L64" t="str">
        <v>Diamonds</v>
      </c>
      <c r="M64">
        <v>5</v>
      </c>
      <c r="N64" t="str">
        <v>♦</v>
      </c>
    </row>
    <row r="65" spans="10:14">
      <c r="J65" t="str">
        <v>6♦</v>
      </c>
      <c r="K65" t="str">
        <v>Red</v>
      </c>
      <c r="L65" t="str">
        <v>Diamonds</v>
      </c>
      <c r="M65">
        <v>6</v>
      </c>
      <c r="N65" t="str">
        <v>♦</v>
      </c>
    </row>
    <row r="66" spans="10:14">
      <c r="J66" t="str">
        <v>7♦</v>
      </c>
      <c r="K66" t="str">
        <v>Red</v>
      </c>
      <c r="L66" t="str">
        <v>Diamonds</v>
      </c>
      <c r="M66">
        <v>7</v>
      </c>
      <c r="N66" t="str">
        <v>♦</v>
      </c>
    </row>
    <row r="67" spans="10:14">
      <c r="J67" t="str">
        <v>8♦</v>
      </c>
      <c r="K67" t="str">
        <v>Red</v>
      </c>
      <c r="L67" t="str">
        <v>Diamonds</v>
      </c>
      <c r="M67">
        <v>8</v>
      </c>
      <c r="N67" t="str">
        <v>♦</v>
      </c>
    </row>
    <row r="68" spans="10:14">
      <c r="J68" t="str">
        <v>9♦</v>
      </c>
      <c r="K68" t="str">
        <v>Red</v>
      </c>
      <c r="L68" t="str">
        <v>Diamonds</v>
      </c>
      <c r="M68">
        <v>9</v>
      </c>
      <c r="N68" t="str">
        <v>♦</v>
      </c>
    </row>
    <row r="69" spans="10:14">
      <c r="J69" t="str">
        <v>10♦</v>
      </c>
      <c r="K69" t="str">
        <v>Red</v>
      </c>
      <c r="L69" t="str">
        <v>Diamonds</v>
      </c>
      <c r="M69">
        <v>10</v>
      </c>
      <c r="N69" t="str">
        <v>♦</v>
      </c>
    </row>
    <row r="70" spans="10:14">
      <c r="J70" t="str">
        <v>J♦</v>
      </c>
      <c r="K70" t="str">
        <v>Red</v>
      </c>
      <c r="L70" t="str">
        <v>Diamonds</v>
      </c>
      <c r="M70">
        <v>11</v>
      </c>
      <c r="N70" t="str">
        <v>♦</v>
      </c>
    </row>
    <row r="71" spans="10:14">
      <c r="J71" t="str">
        <v>Q♦</v>
      </c>
      <c r="K71" t="str">
        <v>Red</v>
      </c>
      <c r="L71" t="str">
        <v>Diamonds</v>
      </c>
      <c r="M71">
        <v>12</v>
      </c>
      <c r="N71" t="str">
        <v>♦</v>
      </c>
    </row>
    <row r="72" spans="10:14">
      <c r="J72" t="str">
        <v>K♦</v>
      </c>
      <c r="K72" t="str">
        <v>Red</v>
      </c>
      <c r="L72" t="str">
        <v>Diamonds</v>
      </c>
      <c r="M72">
        <v>13</v>
      </c>
      <c r="N72" t="str">
        <v>♦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66E27-C021-4C58-A55F-C26021861DC3}">
  <sheetPr codeName="Sheet9"/>
  <dimension ref="A1"/>
  <sheetViews>
    <sheetView tabSelected="1" workbookViewId="0">
      <selection activeCell="C8" sqref="C8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CE4F6-8C9F-4884-A98C-7E104C444D02}">
  <sheetPr codeName="Sheet1"/>
  <dimension ref="B1:AX111"/>
  <sheetViews>
    <sheetView workbookViewId="0"/>
  </sheetViews>
  <sheetFormatPr defaultColWidth="4.85546875" defaultRowHeight="15"/>
  <cols>
    <col min="3" max="3" width="6" bestFit="1" customWidth="1"/>
    <col min="7" max="7" width="27.140625" customWidth="1"/>
    <col min="8" max="8" width="7.140625" bestFit="1" customWidth="1"/>
    <col min="9" max="9" width="8.140625" bestFit="1" customWidth="1"/>
    <col min="12" max="12" width="8.140625" bestFit="1" customWidth="1"/>
    <col min="14" max="14" width="35.7109375" customWidth="1"/>
    <col min="17" max="17" width="9.140625" customWidth="1"/>
  </cols>
  <sheetData>
    <row r="1" spans="2:50">
      <c r="B1" t="s">
        <v>224</v>
      </c>
      <c r="W1" t="s">
        <v>203</v>
      </c>
      <c r="X1" t="s">
        <v>204</v>
      </c>
      <c r="AA1" cm="1">
        <f t="array" ref="AA1:AK1">_xlfn.SEQUENCE(,C15)</f>
        <v>1</v>
      </c>
      <c r="AB1">
        <v>2</v>
      </c>
      <c r="AC1">
        <v>3</v>
      </c>
      <c r="AD1">
        <v>4</v>
      </c>
      <c r="AE1">
        <v>5</v>
      </c>
      <c r="AF1">
        <v>6</v>
      </c>
      <c r="AG1">
        <v>7</v>
      </c>
      <c r="AH1">
        <v>8</v>
      </c>
      <c r="AI1">
        <v>9</v>
      </c>
      <c r="AJ1">
        <v>10</v>
      </c>
      <c r="AK1">
        <v>11</v>
      </c>
    </row>
    <row r="2" spans="2:50">
      <c r="B2" s="2" cm="1">
        <f t="array" ref="B2:L11">_xlfn.SEQUENCE(10,11)</f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W2" t="str" cm="1">
        <f t="array" ref="W2:W111">_xlfn.TOCOL(AddressOfCells(_xlfn.ANCHORARRAY(B2)))</f>
        <v>B2</v>
      </c>
      <c r="X2" cm="1">
        <f t="array" ref="X2:X111">_xlfn.TOCOL(_xlfn.ANCHORARRAY(B2))</f>
        <v>1</v>
      </c>
      <c r="Z2" cm="1">
        <f t="array" ref="Z2:Z11">_xlfn.SEQUENCE(C14)</f>
        <v>1</v>
      </c>
      <c r="AA2" cm="1">
        <f t="array" ref="AA2:AK11">_xlfn.ANCHORARRAY(Z2)+_xlfn.ANCHORARRAY(AA1)</f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N2" cm="1">
        <f t="array" ref="AN2:AX11">_xlfn.ANCHORARRAY(Z2)-_xlfn.ANCHORARRAY(AA1)</f>
        <v>0</v>
      </c>
      <c r="AO2">
        <v>-1</v>
      </c>
      <c r="AP2">
        <v>-2</v>
      </c>
      <c r="AQ2">
        <v>-3</v>
      </c>
      <c r="AR2">
        <v>-4</v>
      </c>
      <c r="AS2">
        <v>-5</v>
      </c>
      <c r="AT2">
        <v>-6</v>
      </c>
      <c r="AU2">
        <v>-7</v>
      </c>
      <c r="AV2">
        <v>-8</v>
      </c>
      <c r="AW2">
        <v>-9</v>
      </c>
      <c r="AX2">
        <v>-10</v>
      </c>
    </row>
    <row r="3" spans="2:50">
      <c r="B3" s="2">
        <v>12</v>
      </c>
      <c r="C3" s="2">
        <v>13</v>
      </c>
      <c r="D3" s="2">
        <v>14</v>
      </c>
      <c r="E3" s="2">
        <v>15</v>
      </c>
      <c r="F3" s="2">
        <v>16</v>
      </c>
      <c r="G3" s="2">
        <v>17</v>
      </c>
      <c r="H3" s="2">
        <v>18</v>
      </c>
      <c r="I3" s="2">
        <v>19</v>
      </c>
      <c r="J3" s="2">
        <v>20</v>
      </c>
      <c r="K3" s="2">
        <v>21</v>
      </c>
      <c r="L3" s="2">
        <v>22</v>
      </c>
      <c r="W3" t="str">
        <v>C2</v>
      </c>
      <c r="X3">
        <v>2</v>
      </c>
      <c r="Z3">
        <v>2</v>
      </c>
      <c r="AA3">
        <v>3</v>
      </c>
      <c r="AB3">
        <v>4</v>
      </c>
      <c r="AC3">
        <v>5</v>
      </c>
      <c r="AD3">
        <v>6</v>
      </c>
      <c r="AE3">
        <v>7</v>
      </c>
      <c r="AF3">
        <v>8</v>
      </c>
      <c r="AG3">
        <v>9</v>
      </c>
      <c r="AH3">
        <v>10</v>
      </c>
      <c r="AI3">
        <v>11</v>
      </c>
      <c r="AJ3">
        <v>12</v>
      </c>
      <c r="AK3">
        <v>13</v>
      </c>
      <c r="AN3">
        <v>1</v>
      </c>
      <c r="AO3">
        <v>0</v>
      </c>
      <c r="AP3">
        <v>-1</v>
      </c>
      <c r="AQ3">
        <v>-2</v>
      </c>
      <c r="AR3">
        <v>-3</v>
      </c>
      <c r="AS3">
        <v>-4</v>
      </c>
      <c r="AT3">
        <v>-5</v>
      </c>
      <c r="AU3">
        <v>-6</v>
      </c>
      <c r="AV3">
        <v>-7</v>
      </c>
      <c r="AW3">
        <v>-8</v>
      </c>
      <c r="AX3">
        <v>-9</v>
      </c>
    </row>
    <row r="4" spans="2:50">
      <c r="B4" s="2">
        <v>23</v>
      </c>
      <c r="C4" s="2">
        <v>24</v>
      </c>
      <c r="D4" s="2">
        <v>25</v>
      </c>
      <c r="E4" s="2">
        <v>26</v>
      </c>
      <c r="F4" s="2">
        <v>27</v>
      </c>
      <c r="G4" s="2">
        <v>28</v>
      </c>
      <c r="H4" s="2">
        <v>29</v>
      </c>
      <c r="I4" s="2">
        <v>30</v>
      </c>
      <c r="J4" s="2">
        <v>31</v>
      </c>
      <c r="K4" s="2">
        <v>32</v>
      </c>
      <c r="L4" s="2">
        <v>33</v>
      </c>
      <c r="W4" t="str">
        <v>D2</v>
      </c>
      <c r="X4">
        <v>3</v>
      </c>
      <c r="Z4">
        <v>3</v>
      </c>
      <c r="AA4">
        <v>4</v>
      </c>
      <c r="AB4">
        <v>5</v>
      </c>
      <c r="AC4">
        <v>6</v>
      </c>
      <c r="AD4">
        <v>7</v>
      </c>
      <c r="AE4">
        <v>8</v>
      </c>
      <c r="AF4">
        <v>9</v>
      </c>
      <c r="AG4">
        <v>10</v>
      </c>
      <c r="AH4">
        <v>11</v>
      </c>
      <c r="AI4">
        <v>12</v>
      </c>
      <c r="AJ4">
        <v>13</v>
      </c>
      <c r="AK4">
        <v>14</v>
      </c>
      <c r="AN4">
        <v>2</v>
      </c>
      <c r="AO4">
        <v>1</v>
      </c>
      <c r="AP4">
        <v>0</v>
      </c>
      <c r="AQ4">
        <v>-1</v>
      </c>
      <c r="AR4">
        <v>-2</v>
      </c>
      <c r="AS4">
        <v>-3</v>
      </c>
      <c r="AT4">
        <v>-4</v>
      </c>
      <c r="AU4">
        <v>-5</v>
      </c>
      <c r="AV4">
        <v>-6</v>
      </c>
      <c r="AW4">
        <v>-7</v>
      </c>
      <c r="AX4">
        <v>-8</v>
      </c>
    </row>
    <row r="5" spans="2:50">
      <c r="B5" s="2">
        <v>34</v>
      </c>
      <c r="C5" s="2">
        <v>35</v>
      </c>
      <c r="D5" s="2">
        <v>36</v>
      </c>
      <c r="E5" s="2">
        <v>37</v>
      </c>
      <c r="F5" s="2">
        <v>38</v>
      </c>
      <c r="G5" s="2">
        <v>39</v>
      </c>
      <c r="H5" s="2">
        <v>40</v>
      </c>
      <c r="I5" s="2">
        <v>41</v>
      </c>
      <c r="J5" s="2">
        <v>42</v>
      </c>
      <c r="K5" s="2">
        <v>43</v>
      </c>
      <c r="L5" s="2">
        <v>44</v>
      </c>
      <c r="W5" t="str">
        <v>E2</v>
      </c>
      <c r="X5">
        <v>4</v>
      </c>
      <c r="Z5">
        <v>4</v>
      </c>
      <c r="AA5">
        <v>5</v>
      </c>
      <c r="AB5">
        <v>6</v>
      </c>
      <c r="AC5">
        <v>7</v>
      </c>
      <c r="AD5">
        <v>8</v>
      </c>
      <c r="AE5">
        <v>9</v>
      </c>
      <c r="AF5">
        <v>10</v>
      </c>
      <c r="AG5">
        <v>11</v>
      </c>
      <c r="AH5">
        <v>12</v>
      </c>
      <c r="AI5">
        <v>13</v>
      </c>
      <c r="AJ5">
        <v>14</v>
      </c>
      <c r="AK5">
        <v>15</v>
      </c>
      <c r="AN5">
        <v>3</v>
      </c>
      <c r="AO5">
        <v>2</v>
      </c>
      <c r="AP5">
        <v>1</v>
      </c>
      <c r="AQ5">
        <v>0</v>
      </c>
      <c r="AR5">
        <v>-1</v>
      </c>
      <c r="AS5">
        <v>-2</v>
      </c>
      <c r="AT5">
        <v>-3</v>
      </c>
      <c r="AU5">
        <v>-4</v>
      </c>
      <c r="AV5">
        <v>-5</v>
      </c>
      <c r="AW5">
        <v>-6</v>
      </c>
      <c r="AX5">
        <v>-7</v>
      </c>
    </row>
    <row r="6" spans="2:50">
      <c r="B6" s="2">
        <v>45</v>
      </c>
      <c r="C6" s="2">
        <v>46</v>
      </c>
      <c r="D6" s="2">
        <v>47</v>
      </c>
      <c r="E6" s="2">
        <v>48</v>
      </c>
      <c r="F6" s="2">
        <v>49</v>
      </c>
      <c r="G6" s="2">
        <v>50</v>
      </c>
      <c r="H6" s="2">
        <v>51</v>
      </c>
      <c r="I6" s="2">
        <v>52</v>
      </c>
      <c r="J6" s="2">
        <v>53</v>
      </c>
      <c r="K6" s="2">
        <v>54</v>
      </c>
      <c r="L6" s="2">
        <v>55</v>
      </c>
      <c r="W6" t="str">
        <v>F2</v>
      </c>
      <c r="X6">
        <v>5</v>
      </c>
      <c r="Z6">
        <v>5</v>
      </c>
      <c r="AA6">
        <v>6</v>
      </c>
      <c r="AB6">
        <v>7</v>
      </c>
      <c r="AC6">
        <v>8</v>
      </c>
      <c r="AD6">
        <v>9</v>
      </c>
      <c r="AE6">
        <v>10</v>
      </c>
      <c r="AF6">
        <v>11</v>
      </c>
      <c r="AG6">
        <v>12</v>
      </c>
      <c r="AH6">
        <v>13</v>
      </c>
      <c r="AI6">
        <v>14</v>
      </c>
      <c r="AJ6">
        <v>15</v>
      </c>
      <c r="AK6">
        <v>16</v>
      </c>
      <c r="AN6">
        <v>4</v>
      </c>
      <c r="AO6">
        <v>3</v>
      </c>
      <c r="AP6">
        <v>2</v>
      </c>
      <c r="AQ6">
        <v>1</v>
      </c>
      <c r="AR6">
        <v>0</v>
      </c>
      <c r="AS6">
        <v>-1</v>
      </c>
      <c r="AT6">
        <v>-2</v>
      </c>
      <c r="AU6">
        <v>-3</v>
      </c>
      <c r="AV6">
        <v>-4</v>
      </c>
      <c r="AW6">
        <v>-5</v>
      </c>
      <c r="AX6">
        <v>-6</v>
      </c>
    </row>
    <row r="7" spans="2:50">
      <c r="B7" s="2">
        <v>56</v>
      </c>
      <c r="C7" s="2">
        <v>57</v>
      </c>
      <c r="D7" s="2">
        <v>58</v>
      </c>
      <c r="E7" s="2">
        <v>59</v>
      </c>
      <c r="F7" s="2">
        <v>60</v>
      </c>
      <c r="G7" s="2">
        <v>61</v>
      </c>
      <c r="H7" s="2">
        <v>62</v>
      </c>
      <c r="I7" s="2">
        <v>63</v>
      </c>
      <c r="J7" s="2">
        <v>64</v>
      </c>
      <c r="K7" s="2">
        <v>65</v>
      </c>
      <c r="L7" s="2">
        <v>66</v>
      </c>
      <c r="W7" t="str">
        <v>G2</v>
      </c>
      <c r="X7">
        <v>6</v>
      </c>
      <c r="Z7">
        <v>6</v>
      </c>
      <c r="AA7">
        <v>7</v>
      </c>
      <c r="AB7">
        <v>8</v>
      </c>
      <c r="AC7">
        <v>9</v>
      </c>
      <c r="AD7">
        <v>10</v>
      </c>
      <c r="AE7">
        <v>11</v>
      </c>
      <c r="AF7">
        <v>12</v>
      </c>
      <c r="AG7">
        <v>13</v>
      </c>
      <c r="AH7">
        <v>14</v>
      </c>
      <c r="AI7">
        <v>15</v>
      </c>
      <c r="AJ7">
        <v>16</v>
      </c>
      <c r="AK7">
        <v>17</v>
      </c>
      <c r="AN7">
        <v>5</v>
      </c>
      <c r="AO7">
        <v>4</v>
      </c>
      <c r="AP7">
        <v>3</v>
      </c>
      <c r="AQ7">
        <v>2</v>
      </c>
      <c r="AR7">
        <v>1</v>
      </c>
      <c r="AS7">
        <v>0</v>
      </c>
      <c r="AT7">
        <v>-1</v>
      </c>
      <c r="AU7">
        <v>-2</v>
      </c>
      <c r="AV7">
        <v>-3</v>
      </c>
      <c r="AW7">
        <v>-4</v>
      </c>
      <c r="AX7">
        <v>-5</v>
      </c>
    </row>
    <row r="8" spans="2:50">
      <c r="B8" s="2">
        <v>67</v>
      </c>
      <c r="C8" s="2">
        <v>68</v>
      </c>
      <c r="D8" s="2">
        <v>69</v>
      </c>
      <c r="E8" s="2">
        <v>70</v>
      </c>
      <c r="F8" s="2">
        <v>71</v>
      </c>
      <c r="G8" s="2">
        <v>72</v>
      </c>
      <c r="H8" s="2">
        <v>73</v>
      </c>
      <c r="I8" s="2">
        <v>74</v>
      </c>
      <c r="J8" s="2">
        <v>75</v>
      </c>
      <c r="K8" s="2">
        <v>76</v>
      </c>
      <c r="L8" s="2">
        <v>77</v>
      </c>
      <c r="W8" t="str">
        <v>H2</v>
      </c>
      <c r="X8">
        <v>7</v>
      </c>
      <c r="Z8">
        <v>7</v>
      </c>
      <c r="AA8">
        <v>8</v>
      </c>
      <c r="AB8">
        <v>9</v>
      </c>
      <c r="AC8">
        <v>10</v>
      </c>
      <c r="AD8">
        <v>11</v>
      </c>
      <c r="AE8">
        <v>12</v>
      </c>
      <c r="AF8">
        <v>13</v>
      </c>
      <c r="AG8">
        <v>14</v>
      </c>
      <c r="AH8">
        <v>15</v>
      </c>
      <c r="AI8">
        <v>16</v>
      </c>
      <c r="AJ8">
        <v>17</v>
      </c>
      <c r="AK8">
        <v>18</v>
      </c>
      <c r="AN8">
        <v>6</v>
      </c>
      <c r="AO8">
        <v>5</v>
      </c>
      <c r="AP8">
        <v>4</v>
      </c>
      <c r="AQ8">
        <v>3</v>
      </c>
      <c r="AR8">
        <v>2</v>
      </c>
      <c r="AS8">
        <v>1</v>
      </c>
      <c r="AT8">
        <v>0</v>
      </c>
      <c r="AU8">
        <v>-1</v>
      </c>
      <c r="AV8">
        <v>-2</v>
      </c>
      <c r="AW8">
        <v>-3</v>
      </c>
      <c r="AX8">
        <v>-4</v>
      </c>
    </row>
    <row r="9" spans="2:50">
      <c r="B9" s="2">
        <v>78</v>
      </c>
      <c r="C9" s="2">
        <v>79</v>
      </c>
      <c r="D9" s="2">
        <v>80</v>
      </c>
      <c r="E9" s="2">
        <v>81</v>
      </c>
      <c r="F9" s="2">
        <v>82</v>
      </c>
      <c r="G9" s="2">
        <v>83</v>
      </c>
      <c r="H9" s="2">
        <v>84</v>
      </c>
      <c r="I9" s="2">
        <v>85</v>
      </c>
      <c r="J9" s="2">
        <v>86</v>
      </c>
      <c r="K9" s="2">
        <v>87</v>
      </c>
      <c r="L9" s="2">
        <v>88</v>
      </c>
      <c r="W9" t="str">
        <v>I2</v>
      </c>
      <c r="X9">
        <v>8</v>
      </c>
      <c r="Z9">
        <v>8</v>
      </c>
      <c r="AA9">
        <v>9</v>
      </c>
      <c r="AB9">
        <v>10</v>
      </c>
      <c r="AC9">
        <v>11</v>
      </c>
      <c r="AD9">
        <v>12</v>
      </c>
      <c r="AE9">
        <v>13</v>
      </c>
      <c r="AF9">
        <v>14</v>
      </c>
      <c r="AG9">
        <v>15</v>
      </c>
      <c r="AH9">
        <v>16</v>
      </c>
      <c r="AI9">
        <v>17</v>
      </c>
      <c r="AJ9">
        <v>18</v>
      </c>
      <c r="AK9">
        <v>19</v>
      </c>
      <c r="AN9">
        <v>7</v>
      </c>
      <c r="AO9">
        <v>6</v>
      </c>
      <c r="AP9">
        <v>5</v>
      </c>
      <c r="AQ9">
        <v>4</v>
      </c>
      <c r="AR9">
        <v>3</v>
      </c>
      <c r="AS9">
        <v>2</v>
      </c>
      <c r="AT9">
        <v>1</v>
      </c>
      <c r="AU9">
        <v>0</v>
      </c>
      <c r="AV9">
        <v>-1</v>
      </c>
      <c r="AW9">
        <v>-2</v>
      </c>
      <c r="AX9">
        <v>-3</v>
      </c>
    </row>
    <row r="10" spans="2:50">
      <c r="B10" s="2">
        <v>89</v>
      </c>
      <c r="C10" s="2">
        <v>90</v>
      </c>
      <c r="D10" s="2">
        <v>91</v>
      </c>
      <c r="E10" s="2">
        <v>92</v>
      </c>
      <c r="F10" s="2">
        <v>93</v>
      </c>
      <c r="G10" s="2">
        <v>94</v>
      </c>
      <c r="H10" s="2">
        <v>95</v>
      </c>
      <c r="I10" s="2">
        <v>96</v>
      </c>
      <c r="J10" s="2">
        <v>97</v>
      </c>
      <c r="K10" s="2">
        <v>98</v>
      </c>
      <c r="L10" s="2">
        <v>99</v>
      </c>
      <c r="W10" t="str">
        <v>J2</v>
      </c>
      <c r="X10">
        <v>9</v>
      </c>
      <c r="Z10">
        <v>9</v>
      </c>
      <c r="AA10">
        <v>10</v>
      </c>
      <c r="AB10">
        <v>11</v>
      </c>
      <c r="AC10">
        <v>12</v>
      </c>
      <c r="AD10">
        <v>13</v>
      </c>
      <c r="AE10">
        <v>14</v>
      </c>
      <c r="AF10">
        <v>15</v>
      </c>
      <c r="AG10">
        <v>16</v>
      </c>
      <c r="AH10">
        <v>17</v>
      </c>
      <c r="AI10">
        <v>18</v>
      </c>
      <c r="AJ10">
        <v>19</v>
      </c>
      <c r="AK10">
        <v>20</v>
      </c>
      <c r="AN10">
        <v>8</v>
      </c>
      <c r="AO10">
        <v>7</v>
      </c>
      <c r="AP10">
        <v>6</v>
      </c>
      <c r="AQ10">
        <v>5</v>
      </c>
      <c r="AR10">
        <v>4</v>
      </c>
      <c r="AS10">
        <v>3</v>
      </c>
      <c r="AT10">
        <v>2</v>
      </c>
      <c r="AU10">
        <v>1</v>
      </c>
      <c r="AV10">
        <v>0</v>
      </c>
      <c r="AW10">
        <v>-1</v>
      </c>
      <c r="AX10">
        <v>-2</v>
      </c>
    </row>
    <row r="11" spans="2:50">
      <c r="B11" s="2">
        <v>100</v>
      </c>
      <c r="C11" s="2">
        <v>101</v>
      </c>
      <c r="D11" s="2">
        <v>102</v>
      </c>
      <c r="E11" s="2">
        <v>103</v>
      </c>
      <c r="F11" s="2">
        <v>104</v>
      </c>
      <c r="G11" s="2">
        <v>105</v>
      </c>
      <c r="H11" s="2">
        <v>106</v>
      </c>
      <c r="I11" s="2">
        <v>107</v>
      </c>
      <c r="J11" s="2">
        <v>108</v>
      </c>
      <c r="K11" s="2">
        <v>109</v>
      </c>
      <c r="L11" s="2">
        <v>110</v>
      </c>
      <c r="W11" t="str">
        <v>K2</v>
      </c>
      <c r="X11">
        <v>10</v>
      </c>
      <c r="Z11">
        <v>10</v>
      </c>
      <c r="AA11">
        <v>11</v>
      </c>
      <c r="AB11">
        <v>12</v>
      </c>
      <c r="AC11">
        <v>13</v>
      </c>
      <c r="AD11">
        <v>14</v>
      </c>
      <c r="AE11">
        <v>15</v>
      </c>
      <c r="AF11">
        <v>16</v>
      </c>
      <c r="AG11">
        <v>17</v>
      </c>
      <c r="AH11">
        <v>18</v>
      </c>
      <c r="AI11">
        <v>19</v>
      </c>
      <c r="AJ11">
        <v>20</v>
      </c>
      <c r="AK11">
        <v>21</v>
      </c>
      <c r="AN11">
        <v>9</v>
      </c>
      <c r="AO11">
        <v>8</v>
      </c>
      <c r="AP11">
        <v>7</v>
      </c>
      <c r="AQ11">
        <v>6</v>
      </c>
      <c r="AR11">
        <v>5</v>
      </c>
      <c r="AS11">
        <v>4</v>
      </c>
      <c r="AT11">
        <v>3</v>
      </c>
      <c r="AU11">
        <v>2</v>
      </c>
      <c r="AV11">
        <v>1</v>
      </c>
      <c r="AW11">
        <v>0</v>
      </c>
      <c r="AX11">
        <v>-1</v>
      </c>
    </row>
    <row r="12" spans="2:50">
      <c r="W12" t="str">
        <v>L2</v>
      </c>
      <c r="X12">
        <v>11</v>
      </c>
    </row>
    <row r="13" spans="2:50">
      <c r="W13" t="str">
        <v>B3</v>
      </c>
      <c r="X13">
        <v>12</v>
      </c>
    </row>
    <row r="14" spans="2:50">
      <c r="B14" t="s">
        <v>199</v>
      </c>
      <c r="C14">
        <f>ROWS(_xlfn.ANCHORARRAY(B2))</f>
        <v>10</v>
      </c>
      <c r="E14" t="s">
        <v>205</v>
      </c>
      <c r="F14">
        <f>MIN(RowNum(_xlfn.ANCHORARRAY(W2)))</f>
        <v>2</v>
      </c>
      <c r="W14" t="str">
        <v>C3</v>
      </c>
      <c r="X14">
        <v>13</v>
      </c>
    </row>
    <row r="15" spans="2:50">
      <c r="B15" t="s">
        <v>200</v>
      </c>
      <c r="C15">
        <f>COLUMNS(_xlfn.ANCHORARRAY(B2))</f>
        <v>11</v>
      </c>
      <c r="E15" t="s">
        <v>206</v>
      </c>
      <c r="F15">
        <f>MAX(RowNum(_xlfn.ANCHORARRAY(W2)))</f>
        <v>11</v>
      </c>
      <c r="W15" t="str">
        <v>D3</v>
      </c>
      <c r="X15">
        <v>14</v>
      </c>
    </row>
    <row r="16" spans="2:50">
      <c r="B16" t="s">
        <v>201</v>
      </c>
      <c r="C16">
        <f>MAX(C14:C15)</f>
        <v>11</v>
      </c>
      <c r="E16" t="s">
        <v>207</v>
      </c>
      <c r="F16">
        <f>MIN(ColNum(_xlfn.ANCHORARRAY(W2)))</f>
        <v>2</v>
      </c>
      <c r="W16" t="str">
        <v>E3</v>
      </c>
      <c r="X16">
        <v>15</v>
      </c>
    </row>
    <row r="17" spans="2:36">
      <c r="B17" t="s">
        <v>202</v>
      </c>
      <c r="C17">
        <f>C14+C15-1</f>
        <v>20</v>
      </c>
      <c r="E17" t="s">
        <v>208</v>
      </c>
      <c r="F17">
        <f>MAX(ColNum(_xlfn.ANCHORARRAY(W2)))</f>
        <v>12</v>
      </c>
      <c r="W17" t="str">
        <v>F3</v>
      </c>
      <c r="X17">
        <v>16</v>
      </c>
    </row>
    <row r="18" spans="2:36">
      <c r="W18" t="str">
        <v>G3</v>
      </c>
      <c r="X18">
        <v>17</v>
      </c>
    </row>
    <row r="19" spans="2:36">
      <c r="D19" t="s">
        <v>210</v>
      </c>
      <c r="E19" t="s">
        <v>211</v>
      </c>
      <c r="G19" t="s">
        <v>212</v>
      </c>
      <c r="H19" t="s">
        <v>213</v>
      </c>
      <c r="I19" t="s">
        <v>219</v>
      </c>
      <c r="K19" t="s">
        <v>214</v>
      </c>
      <c r="L19" t="s">
        <v>215</v>
      </c>
      <c r="N19" t="s">
        <v>217</v>
      </c>
      <c r="O19" t="s">
        <v>218</v>
      </c>
      <c r="P19" t="s">
        <v>220</v>
      </c>
      <c r="W19" t="str">
        <v>H3</v>
      </c>
      <c r="X19">
        <v>18</v>
      </c>
    </row>
    <row r="20" spans="2:36">
      <c r="C20" t="s">
        <v>209</v>
      </c>
      <c r="D20" cm="1">
        <f t="array" ref="D20:D39">Lz_Median(_xlfn.SEQUENCE(C17,,F14),F15,F14)</f>
        <v>2</v>
      </c>
      <c r="E20" cm="1">
        <f t="array" ref="E20:E39">Lz_Median(_xlfn.SEQUENCE(C17,,F17-C17+1),F17,F16)</f>
        <v>2</v>
      </c>
      <c r="G20" t="str" cm="1">
        <f t="array" ref="G20:G39">_xlfn.MAP(_xlfn.ANCHORARRAY(H20),_xlfn.LAMBDA(_xlpm.u,_xlfn.TEXTJOIN("|",,_xlfn.XLOOKUP(_xlfn.TEXTSPLIT(_xlpm.u,,"|"),_xlfn.ANCHORARRAY($W$2),_xlfn.ANCHORARRAY($X$2)))))</f>
        <v>1</v>
      </c>
      <c r="H20" t="str" cm="1">
        <f t="array" ref="H20:H39">_xlfn.DROP(_xlfn.REDUCE("",_xlfn.SEQUENCE($C$17),_xlfn.LAMBDA(_xlpm.ac,_xlpm.u,_xlfn.VSTACK(_xlpm.ac,_xlfn.LET(_xlpm.a,ADDRESS(_xlfn.SEQUENCE(MAX($C$16),,_xlfn.SINGLE(_xlfn.CHOOSEROWS(_xlfn.ANCHORARRAY(D$20),_xlpm.u)),-1),_xlfn.SEQUENCE(MAX($C$16),,_xlfn.SINGLE(_xlfn.CHOOSEROWS(_xlfn.ANCHORARRAY(E$20),_xlpm.u)),1),4),_xlpm.b,_xlfn._xlws.FILTER(_xlpm.a,ISNUMBER(_xlfn.XMATCH(_xlpm.a,_xlfn.ANCHORARRAY($W$2)))),_xlfn.TEXTJOIN("|",,_xlpm.b))))),1)</f>
        <v>B2</v>
      </c>
      <c r="I20" t="str" cm="1">
        <f t="array" ref="I20:I39">IF(_xlfn.ANCHORARRAY(H20)&lt;&gt;"","D")</f>
        <v>D</v>
      </c>
      <c r="J20" t="s">
        <v>216</v>
      </c>
      <c r="K20" cm="1">
        <f t="array" ref="K20:K39">Lz_Median(_xlfn.SEQUENCE(C17,,F15,-1),F15,F14)</f>
        <v>11</v>
      </c>
      <c r="L20" cm="1">
        <f t="array" ref="L20:L39">Lz_Median(_xlfn.SEQUENCE(C17,,F17-C17+1),F17,F16)</f>
        <v>2</v>
      </c>
      <c r="N20" t="str" cm="1">
        <f t="array" ref="N20:N39">_xlfn.MAP(_xlfn.ANCHORARRAY(O20),_xlfn.LAMBDA(_xlpm.u,_xlfn.TEXTJOIN("|",,_xlfn.XLOOKUP(_xlfn.TEXTSPLIT(_xlpm.u,,"|"),_xlfn.ANCHORARRAY($W$2),_xlfn.ANCHORARRAY($X$2)))))</f>
        <v>100</v>
      </c>
      <c r="O20" t="str" cm="1">
        <f t="array" ref="O20:O39">_xlfn.DROP(_xlfn.REDUCE("",_xlfn.SEQUENCE($C$17),_xlfn.LAMBDA(_xlpm.ac,_xlpm.u,_xlfn.VSTACK(_xlpm.ac,_xlfn.LET(_xlpm.a,ADDRESS(_xlfn.SEQUENCE(MAX($C$16),,_xlfn.SINGLE(_xlfn.CHOOSEROWS(_xlfn.ANCHORARRAY(K$20),_xlpm.u)),1),_xlfn.SEQUENCE(MAX($C$16),,_xlfn.SINGLE(_xlfn.CHOOSEROWS(_xlfn.ANCHORARRAY(L$20),_xlpm.u)),1),4),_xlpm.b,_xlfn._xlws.FILTER(_xlpm.a,ISNUMBER(_xlfn.XMATCH(_xlpm.a,_xlfn.ANCHORARRAY($W$2)))),_xlfn.TEXTJOIN("|",,_xlpm.b))))),1)</f>
        <v>B11</v>
      </c>
      <c r="P20" t="str" cm="1">
        <f t="array" ref="P20:P39">IF(_xlfn.ANCHORARRAY(O20)&lt;&gt;"","U")</f>
        <v>U</v>
      </c>
      <c r="R20" t="str" cm="1">
        <f t="array" ref="R20:R39">_xlfn.DROP(_xlfn.REDUCE("",_xlfn.SEQUENCE($C$17),_xlfn.LAMBDA(_xlpm.ac,_xlpm.u,_xlfn.VSTACK(_xlpm.ac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),1)</f>
        <v>B2</v>
      </c>
      <c r="W20" t="str">
        <v>I3</v>
      </c>
      <c r="X20">
        <v>19</v>
      </c>
      <c r="AD20" t="str" cm="1">
        <f t="array" ref="AD20:AD39">_xlfn.MAP(_xlfn.SEQUENCE($C$17),_xlfn.LAMBDA(_xlpm.u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</f>
        <v>B2</v>
      </c>
      <c r="AJ20" t="str" cm="1">
        <f t="array" ref="AJ20:AJ39">_xlfn.MAP(_xlfn.SEQUENCE($C$17),_xlfn.LAMBDA(_xlpm.u,_xlfn.LET(_xlpm.a,ADDRESS(_xlfn.SEQUENCE(MAX($C$16),,INDEX(_xlfn.ANCHORARRAY(K$20),_xlpm.u),1),_xlfn.SEQUENCE(MAX($C$16),,INDEX(_xlfn.ANCHORARRAY(L$20),_xlpm.u),1),4),_xlpm.b,_xlfn._xlws.FILTER(_xlpm.a,ISNUMBER(_xlfn.XMATCH(_xlpm.a,_xlfn.ANCHORARRAY($W$2)))),_xlfn.TEXTJOIN("|",,_xlpm.b))))</f>
        <v>B11</v>
      </c>
    </row>
    <row r="21" spans="2:36">
      <c r="D21">
        <v>3</v>
      </c>
      <c r="E21">
        <v>2</v>
      </c>
      <c r="G21" t="str">
        <v>12|2</v>
      </c>
      <c r="H21" t="str">
        <v>B3|C2</v>
      </c>
      <c r="I21" t="str">
        <v>D</v>
      </c>
      <c r="K21">
        <v>10</v>
      </c>
      <c r="L21">
        <v>2</v>
      </c>
      <c r="N21" t="str">
        <v>89|101</v>
      </c>
      <c r="O21" t="str">
        <v>B10|C11</v>
      </c>
      <c r="P21" t="str">
        <v>U</v>
      </c>
      <c r="R21" t="str">
        <v>B3|C2</v>
      </c>
      <c r="W21" t="str">
        <v>J3</v>
      </c>
      <c r="X21">
        <v>20</v>
      </c>
      <c r="AD21" t="str">
        <v>B3|C2</v>
      </c>
      <c r="AJ21" t="str">
        <v>B10|C11</v>
      </c>
    </row>
    <row r="22" spans="2:36">
      <c r="D22">
        <v>4</v>
      </c>
      <c r="E22">
        <v>2</v>
      </c>
      <c r="G22" t="str">
        <v>23|13|3</v>
      </c>
      <c r="H22" t="str">
        <v>B4|C3|D2</v>
      </c>
      <c r="I22" t="str">
        <v>D</v>
      </c>
      <c r="K22">
        <v>9</v>
      </c>
      <c r="L22">
        <v>2</v>
      </c>
      <c r="N22" t="str">
        <v>78|90|102</v>
      </c>
      <c r="O22" t="str">
        <v>B9|C10|D11</v>
      </c>
      <c r="P22" t="str">
        <v>U</v>
      </c>
      <c r="R22" t="str">
        <v>B4|C3|D2</v>
      </c>
      <c r="W22" t="str">
        <v>K3</v>
      </c>
      <c r="X22">
        <v>21</v>
      </c>
      <c r="AD22" t="str">
        <v>B4|C3|D2</v>
      </c>
      <c r="AJ22" t="str">
        <v>B9|C10|D11</v>
      </c>
    </row>
    <row r="23" spans="2:36">
      <c r="D23">
        <v>5</v>
      </c>
      <c r="E23">
        <v>2</v>
      </c>
      <c r="G23" t="str">
        <v>34|24|14|4</v>
      </c>
      <c r="H23" t="str">
        <v>B5|C4|D3|E2</v>
      </c>
      <c r="I23" t="str">
        <v>D</v>
      </c>
      <c r="K23">
        <v>8</v>
      </c>
      <c r="L23">
        <v>2</v>
      </c>
      <c r="N23" t="str">
        <v>67|79|91|103</v>
      </c>
      <c r="O23" t="str">
        <v>B8|C9|D10|E11</v>
      </c>
      <c r="P23" t="str">
        <v>U</v>
      </c>
      <c r="R23" t="str">
        <v>B5|C4|D3|E2</v>
      </c>
      <c r="W23" t="str">
        <v>L3</v>
      </c>
      <c r="X23">
        <v>22</v>
      </c>
      <c r="AD23" t="str">
        <v>B5|C4|D3|E2</v>
      </c>
      <c r="AJ23" t="str">
        <v>B8|C9|D10|E11</v>
      </c>
    </row>
    <row r="24" spans="2:36">
      <c r="D24">
        <v>6</v>
      </c>
      <c r="E24">
        <v>2</v>
      </c>
      <c r="G24" t="str">
        <v>45|35|25|15|5</v>
      </c>
      <c r="H24" t="str">
        <v>B6|C5|D4|E3|F2</v>
      </c>
      <c r="I24" t="str">
        <v>D</v>
      </c>
      <c r="K24">
        <v>7</v>
      </c>
      <c r="L24">
        <v>2</v>
      </c>
      <c r="N24" t="str">
        <v>56|68|80|92|104</v>
      </c>
      <c r="O24" t="str">
        <v>B7|C8|D9|E10|F11</v>
      </c>
      <c r="P24" t="str">
        <v>U</v>
      </c>
      <c r="R24" t="str">
        <v>B6|C5|D4|E3|F2</v>
      </c>
      <c r="W24" t="str">
        <v>B4</v>
      </c>
      <c r="X24">
        <v>23</v>
      </c>
      <c r="AD24" t="str">
        <v>B6|C5|D4|E3|F2</v>
      </c>
      <c r="AJ24" t="str">
        <v>B7|C8|D9|E10|F11</v>
      </c>
    </row>
    <row r="25" spans="2:36">
      <c r="D25">
        <v>7</v>
      </c>
      <c r="E25">
        <v>2</v>
      </c>
      <c r="G25" t="str">
        <v>56|46|36|26|16|6</v>
      </c>
      <c r="H25" t="str">
        <v>B7|C6|D5|E4|F3|G2</v>
      </c>
      <c r="I25" t="str">
        <v>D</v>
      </c>
      <c r="K25">
        <v>6</v>
      </c>
      <c r="L25">
        <v>2</v>
      </c>
      <c r="N25" t="str">
        <v>45|57|69|81|93|105</v>
      </c>
      <c r="O25" t="str">
        <v>B6|C7|D8|E9|F10|G11</v>
      </c>
      <c r="P25" t="str">
        <v>U</v>
      </c>
      <c r="R25" t="str">
        <v>B7|C6|D5|E4|F3|G2</v>
      </c>
      <c r="W25" t="str">
        <v>C4</v>
      </c>
      <c r="X25">
        <v>24</v>
      </c>
      <c r="AD25" t="str">
        <v>B7|C6|D5|E4|F3|G2</v>
      </c>
      <c r="AJ25" t="str">
        <v>B6|C7|D8|E9|F10|G11</v>
      </c>
    </row>
    <row r="26" spans="2:36">
      <c r="D26">
        <v>8</v>
      </c>
      <c r="E26">
        <v>2</v>
      </c>
      <c r="G26" t="str">
        <v>67|57|47|37|27|17|7</v>
      </c>
      <c r="H26" t="str">
        <v>B8|C7|D6|E5|F4|G3|H2</v>
      </c>
      <c r="I26" t="str">
        <v>D</v>
      </c>
      <c r="K26">
        <v>5</v>
      </c>
      <c r="L26">
        <v>2</v>
      </c>
      <c r="N26" t="str">
        <v>34|46|58|70|82|94|106</v>
      </c>
      <c r="O26" t="str">
        <v>B5|C6|D7|E8|F9|G10|H11</v>
      </c>
      <c r="P26" t="str">
        <v>U</v>
      </c>
      <c r="R26" t="str">
        <v>B8|C7|D6|E5|F4|G3|H2</v>
      </c>
      <c r="W26" t="str">
        <v>D4</v>
      </c>
      <c r="X26">
        <v>25</v>
      </c>
      <c r="AD26" t="str">
        <v>B8|C7|D6|E5|F4|G3|H2</v>
      </c>
      <c r="AJ26" t="str">
        <v>B5|C6|D7|E8|F9|G10|H11</v>
      </c>
    </row>
    <row r="27" spans="2:36">
      <c r="D27">
        <v>9</v>
      </c>
      <c r="E27">
        <v>2</v>
      </c>
      <c r="G27" t="str">
        <v>78|68|58|48|38|28|18|8</v>
      </c>
      <c r="H27" t="str">
        <v>B9|C8|D7|E6|F5|G4|H3|I2</v>
      </c>
      <c r="I27" t="str">
        <v>D</v>
      </c>
      <c r="K27">
        <v>4</v>
      </c>
      <c r="L27">
        <v>2</v>
      </c>
      <c r="N27" t="str">
        <v>23|35|47|59|71|83|95|107</v>
      </c>
      <c r="O27" t="str">
        <v>B4|C5|D6|E7|F8|G9|H10|I11</v>
      </c>
      <c r="P27" t="str">
        <v>U</v>
      </c>
      <c r="R27" t="str">
        <v>B9|C8|D7|E6|F5|G4|H3|I2</v>
      </c>
      <c r="W27" t="str">
        <v>E4</v>
      </c>
      <c r="X27">
        <v>26</v>
      </c>
      <c r="AD27" t="str">
        <v>B9|C8|D7|E6|F5|G4|H3|I2</v>
      </c>
      <c r="AJ27" t="str">
        <v>B4|C5|D6|E7|F8|G9|H10|I11</v>
      </c>
    </row>
    <row r="28" spans="2:36">
      <c r="D28">
        <v>10</v>
      </c>
      <c r="E28">
        <v>2</v>
      </c>
      <c r="G28" t="str">
        <v>89|79|69|59|49|39|29|19|9</v>
      </c>
      <c r="H28" t="str">
        <v>B10|C9|D8|E7|F6|G5|H4|I3|J2</v>
      </c>
      <c r="I28" t="str">
        <v>D</v>
      </c>
      <c r="K28">
        <v>3</v>
      </c>
      <c r="L28">
        <v>2</v>
      </c>
      <c r="N28" t="str">
        <v>12|24|36|48|60|72|84|96|108</v>
      </c>
      <c r="O28" t="str">
        <v>B3|C4|D5|E6|F7|G8|H9|I10|J11</v>
      </c>
      <c r="P28" t="str">
        <v>U</v>
      </c>
      <c r="R28" t="str">
        <v>B10|C9|D8|E7|F6|G5|H4|I3|J2</v>
      </c>
      <c r="W28" t="str">
        <v>F4</v>
      </c>
      <c r="X28">
        <v>27</v>
      </c>
      <c r="AD28" t="str">
        <v>B10|C9|D8|E7|F6|G5|H4|I3|J2</v>
      </c>
      <c r="AJ28" t="str">
        <v>B3|C4|D5|E6|F7|G8|H9|I10|J11</v>
      </c>
    </row>
    <row r="29" spans="2:36">
      <c r="D29">
        <v>11</v>
      </c>
      <c r="E29">
        <v>2</v>
      </c>
      <c r="G29" t="str">
        <v>100|90|80|70|60|50|40|30|20|10</v>
      </c>
      <c r="H29" t="str">
        <v>B11|C10|D9|E8|F7|G6|H5|I4|J3|K2</v>
      </c>
      <c r="I29" t="str">
        <v>D</v>
      </c>
      <c r="K29">
        <v>2</v>
      </c>
      <c r="L29">
        <v>2</v>
      </c>
      <c r="N29" t="str">
        <v>1|13|25|37|49|61|73|85|97|109</v>
      </c>
      <c r="O29" t="str">
        <v>B2|C3|D4|E5|F6|G7|H8|I9|J10|K11</v>
      </c>
      <c r="P29" t="str">
        <v>U</v>
      </c>
      <c r="R29" t="str">
        <v>B11|C10|D9|E8|F7|G6|H5|I4|J3|K2</v>
      </c>
      <c r="W29" t="str">
        <v>G4</v>
      </c>
      <c r="X29">
        <v>28</v>
      </c>
      <c r="AD29" t="str">
        <v>B11|C10|D9|E8|F7|G6|H5|I4|J3|K2</v>
      </c>
      <c r="AJ29" t="str">
        <v>B2|C3|D4|E5|F6|G7|H8|I9|J10|K11</v>
      </c>
    </row>
    <row r="30" spans="2:36">
      <c r="D30">
        <v>11</v>
      </c>
      <c r="E30">
        <v>3</v>
      </c>
      <c r="G30" t="str">
        <v>101|91|81|71|61|51|41|31|21|11</v>
      </c>
      <c r="H30" t="str">
        <v>C11|D10|E9|F8|G7|H6|I5|J4|K3|L2</v>
      </c>
      <c r="I30" t="str">
        <v>D</v>
      </c>
      <c r="K30">
        <v>2</v>
      </c>
      <c r="L30">
        <v>3</v>
      </c>
      <c r="N30" t="str">
        <v>2|14|26|38|50|62|74|86|98|110</v>
      </c>
      <c r="O30" t="str">
        <v>C2|D3|E4|F5|G6|H7|I8|J9|K10|L11</v>
      </c>
      <c r="P30" t="str">
        <v>U</v>
      </c>
      <c r="R30" t="str">
        <v>C11|D10|E9|F8|G7|H6|I5|J4|K3|L2</v>
      </c>
      <c r="W30" t="str">
        <v>H4</v>
      </c>
      <c r="X30">
        <v>29</v>
      </c>
      <c r="AD30" t="str">
        <v>C11|D10|E9|F8|G7|H6|I5|J4|K3|L2</v>
      </c>
      <c r="AJ30" t="str">
        <v>C2|D3|E4|F5|G6|H7|I8|J9|K10|L11</v>
      </c>
    </row>
    <row r="31" spans="2:36">
      <c r="D31">
        <v>11</v>
      </c>
      <c r="E31">
        <v>4</v>
      </c>
      <c r="G31" t="str">
        <v>102|92|82|72|62|52|42|32|22</v>
      </c>
      <c r="H31" t="str">
        <v>D11|E10|F9|G8|H7|I6|J5|K4|L3</v>
      </c>
      <c r="I31" t="str">
        <v>D</v>
      </c>
      <c r="K31">
        <v>2</v>
      </c>
      <c r="L31">
        <v>4</v>
      </c>
      <c r="N31" t="str">
        <v>3|15|27|39|51|63|75|87|99</v>
      </c>
      <c r="O31" t="str">
        <v>D2|E3|F4|G5|H6|I7|J8|K9|L10</v>
      </c>
      <c r="P31" t="str">
        <v>U</v>
      </c>
      <c r="R31" t="str">
        <v>D11|E10|F9|G8|H7|I6|J5|K4|L3</v>
      </c>
      <c r="W31" t="str">
        <v>I4</v>
      </c>
      <c r="X31">
        <v>30</v>
      </c>
      <c r="AD31" t="str">
        <v>D11|E10|F9|G8|H7|I6|J5|K4|L3</v>
      </c>
      <c r="AJ31" t="str">
        <v>D2|E3|F4|G5|H6|I7|J8|K9|L10</v>
      </c>
    </row>
    <row r="32" spans="2:36">
      <c r="D32">
        <v>11</v>
      </c>
      <c r="E32">
        <v>5</v>
      </c>
      <c r="G32" t="str">
        <v>103|93|83|73|63|53|43|33</v>
      </c>
      <c r="H32" t="str">
        <v>E11|F10|G9|H8|I7|J6|K5|L4</v>
      </c>
      <c r="I32" t="str">
        <v>D</v>
      </c>
      <c r="K32">
        <v>2</v>
      </c>
      <c r="L32">
        <v>5</v>
      </c>
      <c r="N32" t="str">
        <v>4|16|28|40|52|64|76|88</v>
      </c>
      <c r="O32" t="str">
        <v>E2|F3|G4|H5|I6|J7|K8|L9</v>
      </c>
      <c r="P32" t="str">
        <v>U</v>
      </c>
      <c r="R32" t="str">
        <v>E11|F10|G9|H8|I7|J6|K5|L4</v>
      </c>
      <c r="W32" t="str">
        <v>J4</v>
      </c>
      <c r="X32">
        <v>31</v>
      </c>
      <c r="AD32" t="str">
        <v>E11|F10|G9|H8|I7|J6|K5|L4</v>
      </c>
      <c r="AJ32" t="str">
        <v>E2|F3|G4|H5|I6|J7|K8|L9</v>
      </c>
    </row>
    <row r="33" spans="2:36">
      <c r="D33">
        <v>11</v>
      </c>
      <c r="E33">
        <v>6</v>
      </c>
      <c r="G33" t="str">
        <v>104|94|84|74|64|54|44</v>
      </c>
      <c r="H33" t="str">
        <v>F11|G10|H9|I8|J7|K6|L5</v>
      </c>
      <c r="I33" t="str">
        <v>D</v>
      </c>
      <c r="K33">
        <v>2</v>
      </c>
      <c r="L33">
        <v>6</v>
      </c>
      <c r="N33" t="str">
        <v>5|17|29|41|53|65|77</v>
      </c>
      <c r="O33" t="str">
        <v>F2|G3|H4|I5|J6|K7|L8</v>
      </c>
      <c r="P33" t="str">
        <v>U</v>
      </c>
      <c r="R33" t="str">
        <v>F11|G10|H9|I8|J7|K6|L5</v>
      </c>
      <c r="W33" t="str">
        <v>K4</v>
      </c>
      <c r="X33">
        <v>32</v>
      </c>
      <c r="AD33" t="str">
        <v>F11|G10|H9|I8|J7|K6|L5</v>
      </c>
      <c r="AJ33" t="str">
        <v>F2|G3|H4|I5|J6|K7|L8</v>
      </c>
    </row>
    <row r="34" spans="2:36">
      <c r="D34">
        <v>11</v>
      </c>
      <c r="E34">
        <v>7</v>
      </c>
      <c r="G34" t="str">
        <v>105|95|85|75|65|55</v>
      </c>
      <c r="H34" t="str">
        <v>G11|H10|I9|J8|K7|L6</v>
      </c>
      <c r="I34" t="str">
        <v>D</v>
      </c>
      <c r="K34">
        <v>2</v>
      </c>
      <c r="L34">
        <v>7</v>
      </c>
      <c r="N34" t="str">
        <v>6|18|30|42|54|66</v>
      </c>
      <c r="O34" t="str">
        <v>G2|H3|I4|J5|K6|L7</v>
      </c>
      <c r="P34" t="str">
        <v>U</v>
      </c>
      <c r="R34" t="str">
        <v>G11|H10|I9|J8|K7|L6</v>
      </c>
      <c r="W34" t="str">
        <v>L4</v>
      </c>
      <c r="X34">
        <v>33</v>
      </c>
      <c r="AD34" t="str">
        <v>G11|H10|I9|J8|K7|L6</v>
      </c>
      <c r="AJ34" t="str">
        <v>G2|H3|I4|J5|K6|L7</v>
      </c>
    </row>
    <row r="35" spans="2:36">
      <c r="D35">
        <v>11</v>
      </c>
      <c r="E35">
        <v>8</v>
      </c>
      <c r="G35" t="str">
        <v>106|96|86|76|66</v>
      </c>
      <c r="H35" t="str">
        <v>H11|I10|J9|K8|L7</v>
      </c>
      <c r="I35" t="str">
        <v>D</v>
      </c>
      <c r="K35">
        <v>2</v>
      </c>
      <c r="L35">
        <v>8</v>
      </c>
      <c r="N35" t="str">
        <v>7|19|31|43|55</v>
      </c>
      <c r="O35" t="str">
        <v>H2|I3|J4|K5|L6</v>
      </c>
      <c r="P35" t="str">
        <v>U</v>
      </c>
      <c r="R35" t="str">
        <v>H11|I10|J9|K8|L7</v>
      </c>
      <c r="W35" t="str">
        <v>B5</v>
      </c>
      <c r="X35">
        <v>34</v>
      </c>
      <c r="AD35" t="str">
        <v>H11|I10|J9|K8|L7</v>
      </c>
      <c r="AJ35" t="str">
        <v>H2|I3|J4|K5|L6</v>
      </c>
    </row>
    <row r="36" spans="2:36">
      <c r="D36">
        <v>11</v>
      </c>
      <c r="E36">
        <v>9</v>
      </c>
      <c r="G36" t="str">
        <v>107|97|87|77</v>
      </c>
      <c r="H36" t="str">
        <v>I11|J10|K9|L8</v>
      </c>
      <c r="I36" t="str">
        <v>D</v>
      </c>
      <c r="K36">
        <v>2</v>
      </c>
      <c r="L36">
        <v>9</v>
      </c>
      <c r="N36" t="str">
        <v>8|20|32|44</v>
      </c>
      <c r="O36" t="str">
        <v>I2|J3|K4|L5</v>
      </c>
      <c r="P36" t="str">
        <v>U</v>
      </c>
      <c r="R36" t="str">
        <v>I11|J10|K9|L8</v>
      </c>
      <c r="W36" t="str">
        <v>C5</v>
      </c>
      <c r="X36">
        <v>35</v>
      </c>
      <c r="AD36" t="str">
        <v>I11|J10|K9|L8</v>
      </c>
      <c r="AJ36" t="str">
        <v>I2|J3|K4|L5</v>
      </c>
    </row>
    <row r="37" spans="2:36">
      <c r="D37">
        <v>11</v>
      </c>
      <c r="E37">
        <v>10</v>
      </c>
      <c r="G37" t="str">
        <v>108|98|88</v>
      </c>
      <c r="H37" t="str">
        <v>J11|K10|L9</v>
      </c>
      <c r="I37" t="str">
        <v>D</v>
      </c>
      <c r="K37">
        <v>2</v>
      </c>
      <c r="L37">
        <v>10</v>
      </c>
      <c r="N37" t="str">
        <v>9|21|33</v>
      </c>
      <c r="O37" t="str">
        <v>J2|K3|L4</v>
      </c>
      <c r="P37" t="str">
        <v>U</v>
      </c>
      <c r="R37" t="str">
        <v>J11|K10|L9</v>
      </c>
      <c r="W37" t="str">
        <v>D5</v>
      </c>
      <c r="X37">
        <v>36</v>
      </c>
      <c r="AD37" t="str">
        <v>J11|K10|L9</v>
      </c>
      <c r="AJ37" t="str">
        <v>J2|K3|L4</v>
      </c>
    </row>
    <row r="38" spans="2:36">
      <c r="D38">
        <v>11</v>
      </c>
      <c r="E38">
        <v>11</v>
      </c>
      <c r="G38" t="str">
        <v>109|99</v>
      </c>
      <c r="H38" t="str">
        <v>K11|L10</v>
      </c>
      <c r="I38" t="str">
        <v>D</v>
      </c>
      <c r="K38">
        <v>2</v>
      </c>
      <c r="L38">
        <v>11</v>
      </c>
      <c r="N38" t="str">
        <v>10|22</v>
      </c>
      <c r="O38" t="str">
        <v>K2|L3</v>
      </c>
      <c r="P38" t="str">
        <v>U</v>
      </c>
      <c r="R38" t="str">
        <v>K11|L10</v>
      </c>
      <c r="W38" t="str">
        <v>E5</v>
      </c>
      <c r="X38">
        <v>37</v>
      </c>
      <c r="AD38" t="str">
        <v>K11|L10</v>
      </c>
      <c r="AJ38" t="str">
        <v>K2|L3</v>
      </c>
    </row>
    <row r="39" spans="2:36">
      <c r="D39">
        <v>11</v>
      </c>
      <c r="E39">
        <v>12</v>
      </c>
      <c r="G39" t="str">
        <v>110</v>
      </c>
      <c r="H39" t="str">
        <v>L11</v>
      </c>
      <c r="I39" t="str">
        <v>D</v>
      </c>
      <c r="K39">
        <v>2</v>
      </c>
      <c r="L39">
        <v>12</v>
      </c>
      <c r="N39" t="str">
        <v>11</v>
      </c>
      <c r="O39" t="str">
        <v>L2</v>
      </c>
      <c r="P39" t="str">
        <v>U</v>
      </c>
      <c r="R39" t="str">
        <v>L11</v>
      </c>
      <c r="W39" t="str">
        <v>F5</v>
      </c>
      <c r="X39">
        <v>38</v>
      </c>
      <c r="AD39" t="str">
        <v>L11</v>
      </c>
      <c r="AJ39" t="str">
        <v>L2</v>
      </c>
    </row>
    <row r="40" spans="2:36">
      <c r="B40" t="s">
        <v>223</v>
      </c>
      <c r="C40" s="2">
        <v>0</v>
      </c>
      <c r="D40">
        <f>IF(_xlfn.ISOMITTED(C40),1,C40)</f>
        <v>0</v>
      </c>
      <c r="W40" t="str">
        <v>G5</v>
      </c>
      <c r="X40">
        <v>39</v>
      </c>
    </row>
    <row r="41" spans="2:36">
      <c r="B41" t="s">
        <v>222</v>
      </c>
      <c r="C41" s="2">
        <v>1</v>
      </c>
      <c r="D41">
        <f>IF(_xlfn.ISOMITTED(C41),0,C41)</f>
        <v>1</v>
      </c>
      <c r="W41" t="str">
        <v>H5</v>
      </c>
      <c r="X41">
        <v>40</v>
      </c>
    </row>
    <row r="42" spans="2:36">
      <c r="B42" t="s">
        <v>221</v>
      </c>
      <c r="C42" s="2">
        <v>0</v>
      </c>
      <c r="D42">
        <f>IF(_xlfn.ISOMITTED(C42),0,C42)</f>
        <v>0</v>
      </c>
      <c r="W42" t="str">
        <v>I5</v>
      </c>
      <c r="X42">
        <v>41</v>
      </c>
    </row>
    <row r="43" spans="2:36">
      <c r="W43" t="str">
        <v>J5</v>
      </c>
      <c r="X43">
        <v>42</v>
      </c>
    </row>
    <row r="44" spans="2:36">
      <c r="C44">
        <f>IF(D40,1,0)</f>
        <v>0</v>
      </c>
      <c r="D44">
        <f>IF(D41,2,0)</f>
        <v>2</v>
      </c>
      <c r="E44">
        <f>IF(D42,3,0)</f>
        <v>0</v>
      </c>
      <c r="W44" t="str">
        <v>K5</v>
      </c>
      <c r="X44">
        <v>43</v>
      </c>
    </row>
    <row r="45" spans="2:36">
      <c r="C45" t="str" cm="1">
        <f t="array" ref="C45:C84">_xlfn.VSTACK(_xlfn.ANCHORARRAY(H20),_xlfn.ANCHORARRAY(O20))</f>
        <v>B2</v>
      </c>
      <c r="D45" t="str" cm="1">
        <f t="array" ref="D45:D84">_xlfn.VSTACK(_xlfn.ANCHORARRAY(G20),_xlfn.ANCHORARRAY(N20))</f>
        <v>1</v>
      </c>
      <c r="E45" t="str" cm="1">
        <f t="array" ref="E45:E84">_xlfn.VSTACK(_xlfn.ANCHORARRAY(I20),_xlfn.ANCHORARRAY(P20))</f>
        <v>D</v>
      </c>
      <c r="I45" t="str" cm="1">
        <f t="array" ref="I45:I84">IF(
      D40+D41+D42,
      _xlfn.CHOOSECOLS(
         _xlfn.HSTACK(_xlfn.ANCHORARRAY(C45),_xlfn.ANCHORARRAY(D45),_xlfn.ANCHORARRAY(E45)),
         _xlfn._xlws.FILTER(
            _xlfn.HSTACK(C44:E44),
            _xlfn.HSTACK(C44:E44) &lt;&gt; 0
         )
      ),_xlfn.ANCHORARRAY(
      C45)
   )</f>
        <v>1</v>
      </c>
      <c r="N45" t="str" cm="1">
        <f t="array" ref="N45:N84">Lz_Diagonals(_xlfn.ANCHORARRAY(B2), C40, C41, C42)</f>
        <v>1</v>
      </c>
      <c r="W45" t="str">
        <v>L5</v>
      </c>
      <c r="X45">
        <v>44</v>
      </c>
    </row>
    <row r="46" spans="2:36">
      <c r="C46" t="str">
        <v>B3|C2</v>
      </c>
      <c r="D46" t="str">
        <v>12|2</v>
      </c>
      <c r="E46" t="str">
        <v>D</v>
      </c>
      <c r="I46" t="str">
        <v>12|2</v>
      </c>
      <c r="N46" t="str">
        <v>12|2</v>
      </c>
      <c r="W46" t="str">
        <v>B6</v>
      </c>
      <c r="X46">
        <v>45</v>
      </c>
    </row>
    <row r="47" spans="2:36">
      <c r="C47" t="str">
        <v>B4|C3|D2</v>
      </c>
      <c r="D47" t="str">
        <v>23|13|3</v>
      </c>
      <c r="E47" t="str">
        <v>D</v>
      </c>
      <c r="I47" t="str">
        <v>23|13|3</v>
      </c>
      <c r="N47" t="str">
        <v>23|13|3</v>
      </c>
      <c r="W47" t="str">
        <v>C6</v>
      </c>
      <c r="X47">
        <v>46</v>
      </c>
    </row>
    <row r="48" spans="2:36">
      <c r="C48" t="str">
        <v>B5|C4|D3|E2</v>
      </c>
      <c r="D48" t="str">
        <v>34|24|14|4</v>
      </c>
      <c r="E48" t="str">
        <v>D</v>
      </c>
      <c r="I48" t="str">
        <v>34|24|14|4</v>
      </c>
      <c r="N48" t="str">
        <v>34|24|14|4</v>
      </c>
      <c r="W48" t="str">
        <v>D6</v>
      </c>
      <c r="X48">
        <v>47</v>
      </c>
    </row>
    <row r="49" spans="3:24">
      <c r="C49" t="str">
        <v>B6|C5|D4|E3|F2</v>
      </c>
      <c r="D49" t="str">
        <v>45|35|25|15|5</v>
      </c>
      <c r="E49" t="str">
        <v>D</v>
      </c>
      <c r="I49" t="str">
        <v>45|35|25|15|5</v>
      </c>
      <c r="N49" t="str">
        <v>45|35|25|15|5</v>
      </c>
      <c r="W49" t="str">
        <v>E6</v>
      </c>
      <c r="X49">
        <v>48</v>
      </c>
    </row>
    <row r="50" spans="3:24">
      <c r="C50" t="str">
        <v>B7|C6|D5|E4|F3|G2</v>
      </c>
      <c r="D50" t="str">
        <v>56|46|36|26|16|6</v>
      </c>
      <c r="E50" t="str">
        <v>D</v>
      </c>
      <c r="I50" t="str">
        <v>56|46|36|26|16|6</v>
      </c>
      <c r="N50" t="str">
        <v>56|46|36|26|16|6</v>
      </c>
      <c r="W50" t="str">
        <v>F6</v>
      </c>
      <c r="X50">
        <v>49</v>
      </c>
    </row>
    <row r="51" spans="3:24">
      <c r="C51" t="str">
        <v>B8|C7|D6|E5|F4|G3|H2</v>
      </c>
      <c r="D51" t="str">
        <v>67|57|47|37|27|17|7</v>
      </c>
      <c r="E51" t="str">
        <v>D</v>
      </c>
      <c r="I51" t="str">
        <v>67|57|47|37|27|17|7</v>
      </c>
      <c r="N51" t="str">
        <v>67|57|47|37|27|17|7</v>
      </c>
      <c r="W51" t="str">
        <v>G6</v>
      </c>
      <c r="X51">
        <v>50</v>
      </c>
    </row>
    <row r="52" spans="3:24">
      <c r="C52" t="str">
        <v>B9|C8|D7|E6|F5|G4|H3|I2</v>
      </c>
      <c r="D52" t="str">
        <v>78|68|58|48|38|28|18|8</v>
      </c>
      <c r="E52" t="str">
        <v>D</v>
      </c>
      <c r="I52" t="str">
        <v>78|68|58|48|38|28|18|8</v>
      </c>
      <c r="N52" t="str">
        <v>78|68|58|48|38|28|18|8</v>
      </c>
      <c r="W52" t="str">
        <v>H6</v>
      </c>
      <c r="X52">
        <v>51</v>
      </c>
    </row>
    <row r="53" spans="3:24">
      <c r="C53" t="str">
        <v>B10|C9|D8|E7|F6|G5|H4|I3|J2</v>
      </c>
      <c r="D53" t="str">
        <v>89|79|69|59|49|39|29|19|9</v>
      </c>
      <c r="E53" t="str">
        <v>D</v>
      </c>
      <c r="I53" t="str">
        <v>89|79|69|59|49|39|29|19|9</v>
      </c>
      <c r="N53" t="str">
        <v>89|79|69|59|49|39|29|19|9</v>
      </c>
      <c r="W53" t="str">
        <v>I6</v>
      </c>
      <c r="X53">
        <v>52</v>
      </c>
    </row>
    <row r="54" spans="3:24">
      <c r="C54" t="str">
        <v>B11|C10|D9|E8|F7|G6|H5|I4|J3|K2</v>
      </c>
      <c r="D54" t="str">
        <v>100|90|80|70|60|50|40|30|20|10</v>
      </c>
      <c r="E54" t="str">
        <v>D</v>
      </c>
      <c r="I54" t="str">
        <v>100|90|80|70|60|50|40|30|20|10</v>
      </c>
      <c r="N54" t="str">
        <v>100|90|80|70|60|50|40|30|20|10</v>
      </c>
      <c r="W54" t="str">
        <v>J6</v>
      </c>
      <c r="X54">
        <v>53</v>
      </c>
    </row>
    <row r="55" spans="3:24">
      <c r="C55" t="str">
        <v>C11|D10|E9|F8|G7|H6|I5|J4|K3|L2</v>
      </c>
      <c r="D55" t="str">
        <v>101|91|81|71|61|51|41|31|21|11</v>
      </c>
      <c r="E55" t="str">
        <v>D</v>
      </c>
      <c r="I55" t="str">
        <v>101|91|81|71|61|51|41|31|21|11</v>
      </c>
      <c r="N55" t="str">
        <v>101|91|81|71|61|51|41|31|21|11</v>
      </c>
      <c r="W55" t="str">
        <v>K6</v>
      </c>
      <c r="X55">
        <v>54</v>
      </c>
    </row>
    <row r="56" spans="3:24">
      <c r="C56" t="str">
        <v>D11|E10|F9|G8|H7|I6|J5|K4|L3</v>
      </c>
      <c r="D56" t="str">
        <v>102|92|82|72|62|52|42|32|22</v>
      </c>
      <c r="E56" t="str">
        <v>D</v>
      </c>
      <c r="I56" t="str">
        <v>102|92|82|72|62|52|42|32|22</v>
      </c>
      <c r="N56" t="str">
        <v>102|92|82|72|62|52|42|32|22</v>
      </c>
      <c r="W56" t="str">
        <v>L6</v>
      </c>
      <c r="X56">
        <v>55</v>
      </c>
    </row>
    <row r="57" spans="3:24">
      <c r="C57" t="str">
        <v>E11|F10|G9|H8|I7|J6|K5|L4</v>
      </c>
      <c r="D57" t="str">
        <v>103|93|83|73|63|53|43|33</v>
      </c>
      <c r="E57" t="str">
        <v>D</v>
      </c>
      <c r="I57" t="str">
        <v>103|93|83|73|63|53|43|33</v>
      </c>
      <c r="N57" t="str">
        <v>103|93|83|73|63|53|43|33</v>
      </c>
      <c r="W57" t="str">
        <v>B7</v>
      </c>
      <c r="X57">
        <v>56</v>
      </c>
    </row>
    <row r="58" spans="3:24">
      <c r="C58" t="str">
        <v>F11|G10|H9|I8|J7|K6|L5</v>
      </c>
      <c r="D58" t="str">
        <v>104|94|84|74|64|54|44</v>
      </c>
      <c r="E58" t="str">
        <v>D</v>
      </c>
      <c r="I58" t="str">
        <v>104|94|84|74|64|54|44</v>
      </c>
      <c r="N58" t="str">
        <v>104|94|84|74|64|54|44</v>
      </c>
      <c r="W58" t="str">
        <v>C7</v>
      </c>
      <c r="X58">
        <v>57</v>
      </c>
    </row>
    <row r="59" spans="3:24">
      <c r="C59" t="str">
        <v>G11|H10|I9|J8|K7|L6</v>
      </c>
      <c r="D59" t="str">
        <v>105|95|85|75|65|55</v>
      </c>
      <c r="E59" t="str">
        <v>D</v>
      </c>
      <c r="I59" t="str">
        <v>105|95|85|75|65|55</v>
      </c>
      <c r="N59" t="str">
        <v>105|95|85|75|65|55</v>
      </c>
      <c r="W59" t="str">
        <v>D7</v>
      </c>
      <c r="X59">
        <v>58</v>
      </c>
    </row>
    <row r="60" spans="3:24">
      <c r="C60" t="str">
        <v>H11|I10|J9|K8|L7</v>
      </c>
      <c r="D60" t="str">
        <v>106|96|86|76|66</v>
      </c>
      <c r="E60" t="str">
        <v>D</v>
      </c>
      <c r="I60" t="str">
        <v>106|96|86|76|66</v>
      </c>
      <c r="N60" t="str">
        <v>106|96|86|76|66</v>
      </c>
      <c r="W60" t="str">
        <v>E7</v>
      </c>
      <c r="X60">
        <v>59</v>
      </c>
    </row>
    <row r="61" spans="3:24">
      <c r="C61" t="str">
        <v>I11|J10|K9|L8</v>
      </c>
      <c r="D61" t="str">
        <v>107|97|87|77</v>
      </c>
      <c r="E61" t="str">
        <v>D</v>
      </c>
      <c r="I61" t="str">
        <v>107|97|87|77</v>
      </c>
      <c r="N61" t="str">
        <v>107|97|87|77</v>
      </c>
      <c r="W61" t="str">
        <v>F7</v>
      </c>
      <c r="X61">
        <v>60</v>
      </c>
    </row>
    <row r="62" spans="3:24">
      <c r="C62" t="str">
        <v>J11|K10|L9</v>
      </c>
      <c r="D62" t="str">
        <v>108|98|88</v>
      </c>
      <c r="E62" t="str">
        <v>D</v>
      </c>
      <c r="I62" t="str">
        <v>108|98|88</v>
      </c>
      <c r="N62" t="str">
        <v>108|98|88</v>
      </c>
      <c r="W62" t="str">
        <v>G7</v>
      </c>
      <c r="X62">
        <v>61</v>
      </c>
    </row>
    <row r="63" spans="3:24">
      <c r="C63" t="str">
        <v>K11|L10</v>
      </c>
      <c r="D63" t="str">
        <v>109|99</v>
      </c>
      <c r="E63" t="str">
        <v>D</v>
      </c>
      <c r="I63" t="str">
        <v>109|99</v>
      </c>
      <c r="N63" t="str">
        <v>109|99</v>
      </c>
      <c r="W63" t="str">
        <v>H7</v>
      </c>
      <c r="X63">
        <v>62</v>
      </c>
    </row>
    <row r="64" spans="3:24">
      <c r="C64" t="str">
        <v>L11</v>
      </c>
      <c r="D64" t="str">
        <v>110</v>
      </c>
      <c r="E64" t="str">
        <v>D</v>
      </c>
      <c r="I64" t="str">
        <v>110</v>
      </c>
      <c r="N64" t="str">
        <v>110</v>
      </c>
      <c r="W64" t="str">
        <v>I7</v>
      </c>
      <c r="X64">
        <v>63</v>
      </c>
    </row>
    <row r="65" spans="3:24">
      <c r="C65" t="str">
        <v>B11</v>
      </c>
      <c r="D65" t="str">
        <v>100</v>
      </c>
      <c r="E65" t="str">
        <v>U</v>
      </c>
      <c r="I65" t="str">
        <v>100</v>
      </c>
      <c r="N65" t="str">
        <v>100</v>
      </c>
      <c r="W65" t="str">
        <v>J7</v>
      </c>
      <c r="X65">
        <v>64</v>
      </c>
    </row>
    <row r="66" spans="3:24">
      <c r="C66" t="str">
        <v>B10|C11</v>
      </c>
      <c r="D66" t="str">
        <v>89|101</v>
      </c>
      <c r="E66" t="str">
        <v>U</v>
      </c>
      <c r="I66" t="str">
        <v>89|101</v>
      </c>
      <c r="N66" t="str">
        <v>89|101</v>
      </c>
      <c r="W66" t="str">
        <v>K7</v>
      </c>
      <c r="X66">
        <v>65</v>
      </c>
    </row>
    <row r="67" spans="3:24">
      <c r="C67" t="str">
        <v>B9|C10|D11</v>
      </c>
      <c r="D67" t="str">
        <v>78|90|102</v>
      </c>
      <c r="E67" t="str">
        <v>U</v>
      </c>
      <c r="I67" t="str">
        <v>78|90|102</v>
      </c>
      <c r="N67" t="str">
        <v>78|90|102</v>
      </c>
      <c r="W67" t="str">
        <v>L7</v>
      </c>
      <c r="X67">
        <v>66</v>
      </c>
    </row>
    <row r="68" spans="3:24">
      <c r="C68" t="str">
        <v>B8|C9|D10|E11</v>
      </c>
      <c r="D68" t="str">
        <v>67|79|91|103</v>
      </c>
      <c r="E68" t="str">
        <v>U</v>
      </c>
      <c r="I68" t="str">
        <v>67|79|91|103</v>
      </c>
      <c r="N68" t="str">
        <v>67|79|91|103</v>
      </c>
      <c r="W68" t="str">
        <v>B8</v>
      </c>
      <c r="X68">
        <v>67</v>
      </c>
    </row>
    <row r="69" spans="3:24">
      <c r="C69" t="str">
        <v>B7|C8|D9|E10|F11</v>
      </c>
      <c r="D69" t="str">
        <v>56|68|80|92|104</v>
      </c>
      <c r="E69" t="str">
        <v>U</v>
      </c>
      <c r="I69" t="str">
        <v>56|68|80|92|104</v>
      </c>
      <c r="N69" t="str">
        <v>56|68|80|92|104</v>
      </c>
      <c r="W69" t="str">
        <v>C8</v>
      </c>
      <c r="X69">
        <v>68</v>
      </c>
    </row>
    <row r="70" spans="3:24">
      <c r="C70" t="str">
        <v>B6|C7|D8|E9|F10|G11</v>
      </c>
      <c r="D70" t="str">
        <v>45|57|69|81|93|105</v>
      </c>
      <c r="E70" t="str">
        <v>U</v>
      </c>
      <c r="I70" t="str">
        <v>45|57|69|81|93|105</v>
      </c>
      <c r="N70" t="str">
        <v>45|57|69|81|93|105</v>
      </c>
      <c r="W70" t="str">
        <v>D8</v>
      </c>
      <c r="X70">
        <v>69</v>
      </c>
    </row>
    <row r="71" spans="3:24">
      <c r="C71" t="str">
        <v>B5|C6|D7|E8|F9|G10|H11</v>
      </c>
      <c r="D71" t="str">
        <v>34|46|58|70|82|94|106</v>
      </c>
      <c r="E71" t="str">
        <v>U</v>
      </c>
      <c r="I71" t="str">
        <v>34|46|58|70|82|94|106</v>
      </c>
      <c r="N71" t="str">
        <v>34|46|58|70|82|94|106</v>
      </c>
      <c r="W71" t="str">
        <v>E8</v>
      </c>
      <c r="X71">
        <v>70</v>
      </c>
    </row>
    <row r="72" spans="3:24">
      <c r="C72" t="str">
        <v>B4|C5|D6|E7|F8|G9|H10|I11</v>
      </c>
      <c r="D72" t="str">
        <v>23|35|47|59|71|83|95|107</v>
      </c>
      <c r="E72" t="str">
        <v>U</v>
      </c>
      <c r="I72" t="str">
        <v>23|35|47|59|71|83|95|107</v>
      </c>
      <c r="N72" t="str">
        <v>23|35|47|59|71|83|95|107</v>
      </c>
      <c r="W72" t="str">
        <v>F8</v>
      </c>
      <c r="X72">
        <v>71</v>
      </c>
    </row>
    <row r="73" spans="3:24">
      <c r="C73" t="str">
        <v>B3|C4|D5|E6|F7|G8|H9|I10|J11</v>
      </c>
      <c r="D73" t="str">
        <v>12|24|36|48|60|72|84|96|108</v>
      </c>
      <c r="E73" t="str">
        <v>U</v>
      </c>
      <c r="I73" t="str">
        <v>12|24|36|48|60|72|84|96|108</v>
      </c>
      <c r="N73" t="str">
        <v>12|24|36|48|60|72|84|96|108</v>
      </c>
      <c r="W73" t="str">
        <v>G8</v>
      </c>
      <c r="X73">
        <v>72</v>
      </c>
    </row>
    <row r="74" spans="3:24">
      <c r="C74" t="str">
        <v>B2|C3|D4|E5|F6|G7|H8|I9|J10|K11</v>
      </c>
      <c r="D74" t="str">
        <v>1|13|25|37|49|61|73|85|97|109</v>
      </c>
      <c r="E74" t="str">
        <v>U</v>
      </c>
      <c r="I74" t="str">
        <v>1|13|25|37|49|61|73|85|97|109</v>
      </c>
      <c r="N74" t="str">
        <v>1|13|25|37|49|61|73|85|97|109</v>
      </c>
      <c r="W74" t="str">
        <v>H8</v>
      </c>
      <c r="X74">
        <v>73</v>
      </c>
    </row>
    <row r="75" spans="3:24">
      <c r="C75" t="str">
        <v>C2|D3|E4|F5|G6|H7|I8|J9|K10|L11</v>
      </c>
      <c r="D75" t="str">
        <v>2|14|26|38|50|62|74|86|98|110</v>
      </c>
      <c r="E75" t="str">
        <v>U</v>
      </c>
      <c r="I75" t="str">
        <v>2|14|26|38|50|62|74|86|98|110</v>
      </c>
      <c r="N75" t="str">
        <v>1|13|25|37|49|61|73|85|97|109</v>
      </c>
      <c r="W75" t="str">
        <v>I8</v>
      </c>
      <c r="X75">
        <v>74</v>
      </c>
    </row>
    <row r="76" spans="3:24">
      <c r="C76" t="str">
        <v>D2|E3|F4|G5|H6|I7|J8|K9|L10</v>
      </c>
      <c r="D76" t="str">
        <v>3|15|27|39|51|63|75|87|99</v>
      </c>
      <c r="E76" t="str">
        <v>U</v>
      </c>
      <c r="I76" t="str">
        <v>3|15|27|39|51|63|75|87|99</v>
      </c>
      <c r="N76" t="str">
        <v>2|14|26|38|50|62|74|86|98|110</v>
      </c>
      <c r="W76" t="str">
        <v>J8</v>
      </c>
      <c r="X76">
        <v>75</v>
      </c>
    </row>
    <row r="77" spans="3:24">
      <c r="C77" t="str">
        <v>E2|F3|G4|H5|I6|J7|K8|L9</v>
      </c>
      <c r="D77" t="str">
        <v>4|16|28|40|52|64|76|88</v>
      </c>
      <c r="E77" t="str">
        <v>U</v>
      </c>
      <c r="I77" t="str">
        <v>4|16|28|40|52|64|76|88</v>
      </c>
      <c r="N77" t="str">
        <v>3|15|27|39|51|63|75|87|99</v>
      </c>
      <c r="W77" t="str">
        <v>K8</v>
      </c>
      <c r="X77">
        <v>76</v>
      </c>
    </row>
    <row r="78" spans="3:24">
      <c r="C78" t="str">
        <v>F2|G3|H4|I5|J6|K7|L8</v>
      </c>
      <c r="D78" t="str">
        <v>5|17|29|41|53|65|77</v>
      </c>
      <c r="E78" t="str">
        <v>U</v>
      </c>
      <c r="I78" t="str">
        <v>5|17|29|41|53|65|77</v>
      </c>
      <c r="N78" t="str">
        <v>4|16|28|40|52|64|76|88</v>
      </c>
      <c r="W78" t="str">
        <v>L8</v>
      </c>
      <c r="X78">
        <v>77</v>
      </c>
    </row>
    <row r="79" spans="3:24">
      <c r="C79" t="str">
        <v>G2|H3|I4|J5|K6|L7</v>
      </c>
      <c r="D79" t="str">
        <v>6|18|30|42|54|66</v>
      </c>
      <c r="E79" t="str">
        <v>U</v>
      </c>
      <c r="I79" t="str">
        <v>6|18|30|42|54|66</v>
      </c>
      <c r="N79" t="str">
        <v>5|17|29|41|53|65|77</v>
      </c>
      <c r="W79" t="str">
        <v>B9</v>
      </c>
      <c r="X79">
        <v>78</v>
      </c>
    </row>
    <row r="80" spans="3:24">
      <c r="C80" t="str">
        <v>H2|I3|J4|K5|L6</v>
      </c>
      <c r="D80" t="str">
        <v>7|19|31|43|55</v>
      </c>
      <c r="E80" t="str">
        <v>U</v>
      </c>
      <c r="I80" t="str">
        <v>7|19|31|43|55</v>
      </c>
      <c r="N80" t="str">
        <v>6|18|30|42|54|66</v>
      </c>
      <c r="W80" t="str">
        <v>C9</v>
      </c>
      <c r="X80">
        <v>79</v>
      </c>
    </row>
    <row r="81" spans="3:24">
      <c r="C81" t="str">
        <v>I2|J3|K4|L5</v>
      </c>
      <c r="D81" t="str">
        <v>8|20|32|44</v>
      </c>
      <c r="E81" t="str">
        <v>U</v>
      </c>
      <c r="I81" t="str">
        <v>8|20|32|44</v>
      </c>
      <c r="N81" t="str">
        <v>7|19|31|43|55</v>
      </c>
      <c r="W81" t="str">
        <v>D9</v>
      </c>
      <c r="X81">
        <v>80</v>
      </c>
    </row>
    <row r="82" spans="3:24">
      <c r="C82" t="str">
        <v>J2|K3|L4</v>
      </c>
      <c r="D82" t="str">
        <v>9|21|33</v>
      </c>
      <c r="E82" t="str">
        <v>U</v>
      </c>
      <c r="I82" t="str">
        <v>9|21|33</v>
      </c>
      <c r="N82" t="str">
        <v>8|20|32|44</v>
      </c>
      <c r="W82" t="str">
        <v>E9</v>
      </c>
      <c r="X82">
        <v>81</v>
      </c>
    </row>
    <row r="83" spans="3:24">
      <c r="C83" t="str">
        <v>K2|L3</v>
      </c>
      <c r="D83" t="str">
        <v>10|22</v>
      </c>
      <c r="E83" t="str">
        <v>U</v>
      </c>
      <c r="I83" t="str">
        <v>10|22</v>
      </c>
      <c r="N83" t="str">
        <v>9|21|33</v>
      </c>
      <c r="W83" t="str">
        <v>F9</v>
      </c>
      <c r="X83">
        <v>82</v>
      </c>
    </row>
    <row r="84" spans="3:24">
      <c r="C84" t="str">
        <v>L2</v>
      </c>
      <c r="D84" t="str">
        <v>11</v>
      </c>
      <c r="E84" t="str">
        <v>U</v>
      </c>
      <c r="I84" t="str">
        <v>11</v>
      </c>
      <c r="N84" t="str">
        <v>10|22</v>
      </c>
      <c r="W84" t="str">
        <v>G9</v>
      </c>
      <c r="X84">
        <v>83</v>
      </c>
    </row>
    <row r="85" spans="3:24">
      <c r="W85" t="str">
        <v>H9</v>
      </c>
      <c r="X85">
        <v>84</v>
      </c>
    </row>
    <row r="86" spans="3:24">
      <c r="W86" t="str">
        <v>I9</v>
      </c>
      <c r="X86">
        <v>85</v>
      </c>
    </row>
    <row r="87" spans="3:24">
      <c r="W87" t="str">
        <v>J9</v>
      </c>
      <c r="X87">
        <v>86</v>
      </c>
    </row>
    <row r="88" spans="3:24">
      <c r="W88" t="str">
        <v>K9</v>
      </c>
      <c r="X88">
        <v>87</v>
      </c>
    </row>
    <row r="89" spans="3:24">
      <c r="W89" t="str">
        <v>L9</v>
      </c>
      <c r="X89">
        <v>88</v>
      </c>
    </row>
    <row r="90" spans="3:24">
      <c r="W90" t="str">
        <v>B10</v>
      </c>
      <c r="X90">
        <v>89</v>
      </c>
    </row>
    <row r="91" spans="3:24">
      <c r="W91" t="str">
        <v>C10</v>
      </c>
      <c r="X91">
        <v>90</v>
      </c>
    </row>
    <row r="92" spans="3:24">
      <c r="W92" t="str">
        <v>D10</v>
      </c>
      <c r="X92">
        <v>91</v>
      </c>
    </row>
    <row r="93" spans="3:24">
      <c r="W93" t="str">
        <v>E10</v>
      </c>
      <c r="X93">
        <v>92</v>
      </c>
    </row>
    <row r="94" spans="3:24">
      <c r="W94" t="str">
        <v>F10</v>
      </c>
      <c r="X94">
        <v>93</v>
      </c>
    </row>
    <row r="95" spans="3:24">
      <c r="W95" t="str">
        <v>G10</v>
      </c>
      <c r="X95">
        <v>94</v>
      </c>
    </row>
    <row r="96" spans="3:24">
      <c r="W96" t="str">
        <v>H10</v>
      </c>
      <c r="X96">
        <v>95</v>
      </c>
    </row>
    <row r="97" spans="23:24">
      <c r="W97" t="str">
        <v>I10</v>
      </c>
      <c r="X97">
        <v>96</v>
      </c>
    </row>
    <row r="98" spans="23:24">
      <c r="W98" t="str">
        <v>J10</v>
      </c>
      <c r="X98">
        <v>97</v>
      </c>
    </row>
    <row r="99" spans="23:24">
      <c r="W99" t="str">
        <v>K10</v>
      </c>
      <c r="X99">
        <v>98</v>
      </c>
    </row>
    <row r="100" spans="23:24">
      <c r="W100" t="str">
        <v>L10</v>
      </c>
      <c r="X100">
        <v>99</v>
      </c>
    </row>
    <row r="101" spans="23:24">
      <c r="W101" t="str">
        <v>B11</v>
      </c>
      <c r="X101">
        <v>100</v>
      </c>
    </row>
    <row r="102" spans="23:24">
      <c r="W102" t="str">
        <v>C11</v>
      </c>
      <c r="X102">
        <v>101</v>
      </c>
    </row>
    <row r="103" spans="23:24">
      <c r="W103" t="str">
        <v>D11</v>
      </c>
      <c r="X103">
        <v>102</v>
      </c>
    </row>
    <row r="104" spans="23:24">
      <c r="W104" t="str">
        <v>E11</v>
      </c>
      <c r="X104">
        <v>103</v>
      </c>
    </row>
    <row r="105" spans="23:24">
      <c r="W105" t="str">
        <v>F11</v>
      </c>
      <c r="X105">
        <v>104</v>
      </c>
    </row>
    <row r="106" spans="23:24">
      <c r="W106" t="str">
        <v>G11</v>
      </c>
      <c r="X106">
        <v>105</v>
      </c>
    </row>
    <row r="107" spans="23:24">
      <c r="W107" t="str">
        <v>H11</v>
      </c>
      <c r="X107">
        <v>106</v>
      </c>
    </row>
    <row r="108" spans="23:24">
      <c r="W108" t="str">
        <v>I11</v>
      </c>
      <c r="X108">
        <v>107</v>
      </c>
    </row>
    <row r="109" spans="23:24">
      <c r="W109" t="str">
        <v>J11</v>
      </c>
      <c r="X109">
        <v>108</v>
      </c>
    </row>
    <row r="110" spans="23:24">
      <c r="W110" t="str">
        <v>K11</v>
      </c>
      <c r="X110">
        <v>109</v>
      </c>
    </row>
    <row r="111" spans="23:24">
      <c r="W111" t="str">
        <v>L11</v>
      </c>
      <c r="X111">
        <v>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9E01-998D-4C6D-9D2E-7C5A6C4B69B8}">
  <sheetPr codeName="Sheet5"/>
  <dimension ref="B1:DZ97"/>
  <sheetViews>
    <sheetView showGridLines="0" zoomScale="80" zoomScaleNormal="80" workbookViewId="0"/>
  </sheetViews>
  <sheetFormatPr defaultColWidth="3.5703125" defaultRowHeight="15"/>
  <cols>
    <col min="1" max="2" width="3.5703125" style="4"/>
    <col min="3" max="3" width="7.85546875" style="4" bestFit="1" customWidth="1"/>
    <col min="4" max="10" width="3.5703125" style="4"/>
    <col min="11" max="11" width="4.140625" style="4" bestFit="1" customWidth="1"/>
    <col min="12" max="12" width="7.85546875" style="4" bestFit="1" customWidth="1"/>
    <col min="13" max="27" width="3.5703125" style="4"/>
    <col min="28" max="28" width="9" style="4" customWidth="1"/>
    <col min="29" max="29" width="8.42578125" style="4" bestFit="1" customWidth="1"/>
    <col min="30" max="33" width="3.5703125" style="4"/>
    <col min="34" max="34" width="8.42578125" style="4" bestFit="1" customWidth="1"/>
    <col min="35" max="45" width="3.5703125" style="4"/>
    <col min="46" max="47" width="7.140625" style="4" bestFit="1" customWidth="1"/>
    <col min="48" max="58" width="3.5703125" style="4"/>
    <col min="59" max="59" width="6.140625" style="4" bestFit="1" customWidth="1"/>
    <col min="60" max="60" width="8.85546875" style="4" bestFit="1" customWidth="1"/>
    <col min="61" max="78" width="3.5703125" style="4"/>
    <col min="79" max="79" width="8.42578125" style="4" bestFit="1" customWidth="1"/>
    <col min="80" max="85" width="3.5703125" style="4"/>
    <col min="86" max="86" width="8.42578125" style="4" bestFit="1" customWidth="1"/>
    <col min="87" max="95" width="3.5703125" style="4"/>
    <col min="96" max="96" width="8.85546875" style="4" bestFit="1" customWidth="1"/>
    <col min="97" max="97" width="8.42578125" style="4" customWidth="1"/>
    <col min="98" max="102" width="3.5703125" style="4"/>
    <col min="103" max="103" width="5.7109375" style="4" customWidth="1"/>
    <col min="104" max="104" width="6.42578125" style="4" customWidth="1"/>
    <col min="105" max="105" width="3.5703125" style="4"/>
    <col min="106" max="106" width="8.42578125" style="4" bestFit="1" customWidth="1"/>
    <col min="107" max="110" width="3.5703125" style="4"/>
    <col min="111" max="111" width="8.85546875" style="4" bestFit="1" customWidth="1"/>
    <col min="112" max="127" width="3.5703125" style="4"/>
    <col min="128" max="128" width="12.28515625" style="4" customWidth="1"/>
    <col min="129" max="16384" width="3.5703125" style="4"/>
  </cols>
  <sheetData>
    <row r="1" spans="2:117" ht="26.25">
      <c r="CH1" s="4" t="s">
        <v>229</v>
      </c>
      <c r="CX1" s="5"/>
      <c r="DG1" s="4" t="str" cm="1">
        <f t="array" ref="DG1:DG12">{"♔";"♕";"♖";"♗";"♘";"♙";"♚";"♛";"♜";"♝";"♞";"♟"}</f>
        <v>♔</v>
      </c>
    </row>
    <row r="2" spans="2:117" ht="26.25">
      <c r="B2" s="58" t="s">
        <v>230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CH2" s="4" cm="1">
        <f t="array" ref="CH2:CP10">--ISNUMBER(_xlfn.XMATCH(_xlfn.ANCHORARRAY(AU17),_xlfn.ANCHORARRAY(BD7)))</f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X2" s="5"/>
      <c r="DG2" s="4" t="str">
        <v>♕</v>
      </c>
    </row>
    <row r="3" spans="2:117" ht="26.25"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X3" s="5"/>
      <c r="DG3" s="4" t="str">
        <v>♖</v>
      </c>
    </row>
    <row r="4" spans="2:117" ht="26.25">
      <c r="B4" s="6"/>
      <c r="C4" s="6"/>
      <c r="D4" s="6"/>
      <c r="E4" s="6"/>
      <c r="F4" s="7" t="s">
        <v>229</v>
      </c>
      <c r="G4" s="8" t="s">
        <v>231</v>
      </c>
      <c r="H4" s="6"/>
      <c r="I4" s="6"/>
      <c r="J4" s="6"/>
      <c r="K4" s="6"/>
      <c r="L4" s="6"/>
      <c r="M4" s="6"/>
      <c r="N4" s="6" t="s">
        <v>232</v>
      </c>
      <c r="O4" s="6"/>
      <c r="P4" s="6"/>
      <c r="Q4" s="7" t="s">
        <v>233</v>
      </c>
      <c r="R4" s="8" t="s">
        <v>234</v>
      </c>
      <c r="S4" s="6"/>
      <c r="T4" s="6"/>
      <c r="U4" s="6"/>
      <c r="V4" s="6"/>
      <c r="W4" s="6"/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X4" s="5"/>
      <c r="DG4" s="4" t="str">
        <v>♗</v>
      </c>
    </row>
    <row r="5" spans="2:117" ht="26.25">
      <c r="B5" s="6"/>
      <c r="C5" s="6"/>
      <c r="D5" s="9"/>
      <c r="E5" s="6"/>
      <c r="F5" s="9"/>
      <c r="G5" s="6"/>
      <c r="H5" s="9"/>
      <c r="I5" s="6"/>
      <c r="J5" s="9"/>
      <c r="K5" s="6"/>
      <c r="L5" s="6"/>
      <c r="M5" s="6"/>
      <c r="N5" s="10"/>
      <c r="O5" s="10"/>
      <c r="P5" s="10"/>
      <c r="Q5" s="10"/>
      <c r="R5" s="10"/>
      <c r="S5" s="10"/>
      <c r="T5" s="10"/>
      <c r="U5" s="10"/>
      <c r="V5" s="11"/>
      <c r="W5" s="6"/>
      <c r="AC5" s="4" t="s">
        <v>235</v>
      </c>
      <c r="AS5" s="4" t="s">
        <v>229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X5" s="5"/>
      <c r="DG5" s="4" t="str">
        <v>♘</v>
      </c>
    </row>
    <row r="6" spans="2:117" ht="26.25">
      <c r="B6" s="6"/>
      <c r="C6" s="9"/>
      <c r="D6" s="6"/>
      <c r="E6" s="9"/>
      <c r="F6" s="6"/>
      <c r="G6" s="9"/>
      <c r="H6" s="6"/>
      <c r="I6" s="9"/>
      <c r="J6" s="6"/>
      <c r="K6" s="9"/>
      <c r="L6" s="6"/>
      <c r="M6" s="6"/>
      <c r="N6" s="10"/>
      <c r="O6" s="10"/>
      <c r="P6" s="10"/>
      <c r="Q6" s="10"/>
      <c r="R6" s="10"/>
      <c r="S6" s="10"/>
      <c r="T6" s="10"/>
      <c r="U6" s="10"/>
      <c r="V6" s="10"/>
      <c r="W6" s="6"/>
      <c r="AC6" s="12" t="s">
        <v>236</v>
      </c>
      <c r="AT6" s="4" t="s">
        <v>203</v>
      </c>
      <c r="AU6" s="4" cm="1">
        <f t="array" ref="AU6:AV6">Lz_SeqenceFromTo(MEDIAN(AC11, AC8 - 1, AC12), MEDIAN(AC11, AC8 + 1, AC12), 1)</f>
        <v>21</v>
      </c>
      <c r="AV6" s="4">
        <v>22</v>
      </c>
      <c r="AZ6" s="4" t="s">
        <v>237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X6" s="5"/>
      <c r="DG6" s="4" t="str">
        <v>♙</v>
      </c>
    </row>
    <row r="7" spans="2:117" ht="26.25">
      <c r="B7" s="6"/>
      <c r="C7" s="6"/>
      <c r="D7" s="9"/>
      <c r="E7" s="6"/>
      <c r="F7" s="9"/>
      <c r="G7" s="6"/>
      <c r="H7" s="9"/>
      <c r="I7" s="6"/>
      <c r="J7" s="9"/>
      <c r="K7" s="6"/>
      <c r="L7" s="6"/>
      <c r="M7" s="6"/>
      <c r="N7" s="10"/>
      <c r="O7" s="10"/>
      <c r="P7" s="10"/>
      <c r="Q7" s="10"/>
      <c r="R7" s="10"/>
      <c r="S7" s="10"/>
      <c r="T7" s="10"/>
      <c r="U7" s="10"/>
      <c r="V7" s="11"/>
      <c r="W7" s="6"/>
      <c r="AB7" s="4" t="s">
        <v>238</v>
      </c>
      <c r="AC7" s="4" cm="1">
        <f t="array" ref="AC7">RowNum(AC6)</f>
        <v>13</v>
      </c>
      <c r="AT7" s="4" cm="1">
        <f t="array" ref="AT7:AT8">Lz_SeqenceFromTo(MEDIAN(AC9, AC7 - 1, AC10), MEDIAN(AC9, AC7 + 1, AC10))</f>
        <v>12</v>
      </c>
      <c r="AU7" s="4" t="str" cm="1">
        <f t="array" ref="AU7:AV8">ADDRESS(_xlfn.ANCHORARRAY(AT7),_xlfn.ANCHORARRAY(AU6),4)</f>
        <v>U12</v>
      </c>
      <c r="AV7" s="4" t="str">
        <v>V12</v>
      </c>
      <c r="AZ7" s="4" cm="1">
        <f t="array" ref="AZ7:BA8">_xlfn.MAP(_xlfn.ANCHORARRAY(AU7),_xlfn.LAMBDA(_xlpm.u,Lz_Distance(_xlpm.u,AC6)))</f>
        <v>1</v>
      </c>
      <c r="BA7" s="4">
        <v>1</v>
      </c>
      <c r="BD7" s="4" t="str" cm="1">
        <f t="array" ref="BD7:BD10">_xlfn.TOCOL(_xlfn.ANCHORARRAY(AU7))</f>
        <v>U12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X7" s="5"/>
      <c r="DG7" s="4" t="str">
        <v>♚</v>
      </c>
    </row>
    <row r="8" spans="2:117" ht="26.25">
      <c r="B8" s="6"/>
      <c r="C8" s="9"/>
      <c r="D8" s="13"/>
      <c r="E8" s="13"/>
      <c r="F8" s="13"/>
      <c r="G8" s="9"/>
      <c r="H8" s="6"/>
      <c r="I8" s="9"/>
      <c r="J8" s="6"/>
      <c r="K8" s="9"/>
      <c r="L8" s="6"/>
      <c r="M8" s="6"/>
      <c r="N8" s="10"/>
      <c r="O8" s="10"/>
      <c r="P8" s="10"/>
      <c r="Q8" s="10"/>
      <c r="R8" s="10"/>
      <c r="S8" s="10"/>
      <c r="T8" s="10"/>
      <c r="U8" s="10"/>
      <c r="V8" s="10"/>
      <c r="W8" s="6"/>
      <c r="AB8" s="4" t="s">
        <v>239</v>
      </c>
      <c r="AC8" s="4" cm="1">
        <f t="array" ref="AC8">ColNum(AC6)</f>
        <v>22</v>
      </c>
      <c r="AT8" s="4">
        <v>13</v>
      </c>
      <c r="AU8" s="4" t="str">
        <v>U13</v>
      </c>
      <c r="AV8" s="4" t="str">
        <v>V13</v>
      </c>
      <c r="AZ8" s="4">
        <v>1</v>
      </c>
      <c r="BA8" s="4">
        <v>0</v>
      </c>
      <c r="BD8" s="4" t="str">
        <v>V12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X8" s="5"/>
      <c r="DG8" s="4" t="str">
        <v>♛</v>
      </c>
    </row>
    <row r="9" spans="2:117" ht="26.25">
      <c r="B9" s="6"/>
      <c r="C9" s="6"/>
      <c r="D9" s="13"/>
      <c r="E9" s="14" t="s">
        <v>231</v>
      </c>
      <c r="F9" s="13"/>
      <c r="G9" s="6"/>
      <c r="H9" s="9"/>
      <c r="I9" s="6"/>
      <c r="J9" s="9"/>
      <c r="K9" s="6"/>
      <c r="L9" s="6"/>
      <c r="M9" s="6"/>
      <c r="N9" s="10"/>
      <c r="O9" s="10"/>
      <c r="P9" s="10"/>
      <c r="Q9" s="10"/>
      <c r="R9" s="10"/>
      <c r="S9" s="10" t="s">
        <v>234</v>
      </c>
      <c r="T9" s="10"/>
      <c r="U9" s="10"/>
      <c r="V9" s="10"/>
      <c r="W9" s="6"/>
      <c r="AB9" s="4" t="s">
        <v>205</v>
      </c>
      <c r="AC9" s="4">
        <f>MIN(RowNum(_xlfn.ANCHORARRAY(AC16)))</f>
        <v>5</v>
      </c>
      <c r="BD9" s="4" t="str">
        <v>U13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1</v>
      </c>
      <c r="CP9" s="4">
        <v>1</v>
      </c>
      <c r="CX9" s="5"/>
      <c r="DG9" s="4" t="str">
        <v>♜</v>
      </c>
    </row>
    <row r="10" spans="2:117" ht="26.25">
      <c r="B10" s="6"/>
      <c r="C10" s="9"/>
      <c r="D10" s="13"/>
      <c r="E10" s="13"/>
      <c r="F10" s="13"/>
      <c r="G10" s="9"/>
      <c r="H10" s="6"/>
      <c r="I10" s="9"/>
      <c r="J10" s="6"/>
      <c r="K10" s="9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0"/>
      <c r="W10" s="6"/>
      <c r="AB10" s="4" t="s">
        <v>206</v>
      </c>
      <c r="AC10" s="4">
        <f>MAX(RowNum(_xlfn.ANCHORARRAY(AC16)))</f>
        <v>13</v>
      </c>
      <c r="BD10" s="4" t="str">
        <v>V13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1</v>
      </c>
      <c r="CP10" s="4">
        <v>1</v>
      </c>
      <c r="CX10" s="5"/>
      <c r="DG10" s="4" t="str">
        <v>♝</v>
      </c>
    </row>
    <row r="11" spans="2:117" ht="26.25">
      <c r="B11" s="6"/>
      <c r="C11" s="6"/>
      <c r="D11" s="9"/>
      <c r="E11" s="6"/>
      <c r="F11" s="9"/>
      <c r="G11" s="6"/>
      <c r="H11" s="9"/>
      <c r="I11" s="6"/>
      <c r="J11" s="9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6"/>
      <c r="AB11" s="4" t="s">
        <v>207</v>
      </c>
      <c r="AC11" s="4">
        <f>MIN(ColNum(_xlfn.ANCHORARRAY(AC16)))</f>
        <v>14</v>
      </c>
      <c r="CX11" s="5"/>
      <c r="DG11" s="4" t="str">
        <v>♞</v>
      </c>
    </row>
    <row r="12" spans="2:117" ht="26.25">
      <c r="B12" s="6"/>
      <c r="C12" s="9"/>
      <c r="D12" s="6"/>
      <c r="E12" s="9"/>
      <c r="F12" s="6"/>
      <c r="G12" s="9"/>
      <c r="H12" s="6"/>
      <c r="I12" s="9"/>
      <c r="J12" s="6"/>
      <c r="K12" s="9"/>
      <c r="L12" s="6"/>
      <c r="M12" s="6"/>
      <c r="N12" s="10"/>
      <c r="O12" s="10"/>
      <c r="P12" s="10"/>
      <c r="Q12" s="10"/>
      <c r="R12" s="10"/>
      <c r="S12" s="10"/>
      <c r="T12" s="10"/>
      <c r="U12" s="10"/>
      <c r="V12" s="10"/>
      <c r="W12" s="6"/>
      <c r="AB12" s="4" t="s">
        <v>208</v>
      </c>
      <c r="AC12" s="4">
        <f>MAX(ColNum(_xlfn.ANCHORARRAY(AC16)))</f>
        <v>22</v>
      </c>
      <c r="AT12"/>
      <c r="CX12" s="5"/>
      <c r="DG12" s="4" t="str">
        <v>♟</v>
      </c>
    </row>
    <row r="13" spans="2:117">
      <c r="B13" s="6"/>
      <c r="C13" s="6"/>
      <c r="D13" s="9"/>
      <c r="E13" s="6"/>
      <c r="F13" s="9"/>
      <c r="G13" s="6"/>
      <c r="H13" s="9"/>
      <c r="I13" s="6"/>
      <c r="J13" s="9"/>
      <c r="K13" s="6"/>
      <c r="L13" s="6"/>
      <c r="M13" s="6"/>
      <c r="N13" s="11"/>
      <c r="O13" s="10"/>
      <c r="P13" s="11"/>
      <c r="Q13" s="10"/>
      <c r="R13" s="11"/>
      <c r="S13" s="10"/>
      <c r="T13" s="11"/>
      <c r="U13" s="10"/>
      <c r="V13" s="10"/>
      <c r="W13" s="6"/>
      <c r="CR13" s="4" t="s">
        <v>240</v>
      </c>
      <c r="CS13" s="4" t="s">
        <v>223</v>
      </c>
      <c r="CT13" s="4" t="s">
        <v>241</v>
      </c>
      <c r="CU13" s="4" t="s">
        <v>222</v>
      </c>
      <c r="CV13" s="4" t="s">
        <v>242</v>
      </c>
    </row>
    <row r="14" spans="2:117" ht="26.25">
      <c r="B14" s="6"/>
      <c r="C14" s="15"/>
      <c r="D14" s="15"/>
      <c r="E14" s="15"/>
      <c r="F14" s="15"/>
      <c r="G14" s="15"/>
      <c r="H14" s="15"/>
      <c r="I14" s="15"/>
      <c r="J14" s="15"/>
      <c r="K14" s="6"/>
      <c r="L14" s="6"/>
      <c r="M14" s="6"/>
      <c r="N14" s="15"/>
      <c r="O14" s="15"/>
      <c r="P14" s="15"/>
      <c r="Q14" s="15"/>
      <c r="R14" s="15"/>
      <c r="S14" s="15"/>
      <c r="T14" s="15"/>
      <c r="U14" s="15"/>
      <c r="V14" s="6"/>
      <c r="W14" s="6"/>
      <c r="AC14" s="4">
        <f>MAX(AC12,AC10)</f>
        <v>22</v>
      </c>
      <c r="CR14" s="16" t="s">
        <v>243</v>
      </c>
      <c r="CS14" s="12"/>
      <c r="CT14" s="12"/>
      <c r="CU14" s="12"/>
      <c r="CV14" s="12"/>
    </row>
    <row r="15" spans="2:117" ht="67.5" customHeight="1">
      <c r="B15" s="6"/>
      <c r="C15" s="57" t="s">
        <v>244</v>
      </c>
      <c r="D15" s="57"/>
      <c r="E15" s="57"/>
      <c r="F15" s="57"/>
      <c r="G15" s="57"/>
      <c r="H15" s="57"/>
      <c r="I15" s="57"/>
      <c r="J15" s="57"/>
      <c r="K15" s="57"/>
      <c r="L15" s="6"/>
      <c r="M15" s="6"/>
      <c r="N15" s="59" t="s">
        <v>245</v>
      </c>
      <c r="O15" s="59"/>
      <c r="P15" s="59"/>
      <c r="Q15" s="59"/>
      <c r="R15" s="59"/>
      <c r="S15" s="59"/>
      <c r="T15" s="59"/>
      <c r="U15" s="59"/>
      <c r="V15" s="59"/>
      <c r="W15" s="6"/>
      <c r="CS15" s="4">
        <f>IF(_xlfn.ISOMITTED(CS14),0,CS14)</f>
        <v>0</v>
      </c>
      <c r="CT15" s="4">
        <f>IF(_xlfn.ISOMITTED(CT14),0,CT14)</f>
        <v>0</v>
      </c>
      <c r="CU15" s="4">
        <f>IF(_xlfn.ISOMITTED(CU14),0,CU14)</f>
        <v>0</v>
      </c>
      <c r="CV15" s="4">
        <f>IF(_xlfn.ISOMITTED(CV14),0,CV14)</f>
        <v>0</v>
      </c>
    </row>
    <row r="16" spans="2:117">
      <c r="B16" s="6"/>
      <c r="C16" s="17"/>
      <c r="D16" s="17"/>
      <c r="E16" s="17"/>
      <c r="F16" s="17"/>
      <c r="G16" s="17"/>
      <c r="H16" s="17"/>
      <c r="I16" s="17"/>
      <c r="J16" s="17"/>
      <c r="K16" s="17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AC16" s="4" t="str" cm="1">
        <f t="array" ref="AC16:AK24">AddressOfCells(N5:V13)</f>
        <v>N5</v>
      </c>
      <c r="AD16" s="4" t="str">
        <v>O5</v>
      </c>
      <c r="AE16" s="4" t="str">
        <v>P5</v>
      </c>
      <c r="AF16" s="4" t="str">
        <v>Q5</v>
      </c>
      <c r="AG16" s="4" t="str">
        <v>R5</v>
      </c>
      <c r="AH16" s="4" t="str">
        <v>S5</v>
      </c>
      <c r="AI16" s="4" t="str">
        <v>T5</v>
      </c>
      <c r="AJ16" s="4" t="str">
        <v>U5</v>
      </c>
      <c r="AK16" s="4" t="str">
        <v>V5</v>
      </c>
      <c r="AU16" s="4" cm="1">
        <f t="array" ref="AU16:BC16">Lz_SeqenceFromTo(AC11, AC12,1)</f>
        <v>14</v>
      </c>
      <c r="AV16" s="4">
        <v>15</v>
      </c>
      <c r="AW16" s="4">
        <v>16</v>
      </c>
      <c r="AX16" s="4">
        <v>17</v>
      </c>
      <c r="AY16" s="4">
        <v>18</v>
      </c>
      <c r="AZ16" s="4">
        <v>19</v>
      </c>
      <c r="BA16" s="4">
        <v>20</v>
      </c>
      <c r="BB16" s="4">
        <v>21</v>
      </c>
      <c r="BC16" s="4">
        <v>22</v>
      </c>
      <c r="BG16" s="4" t="s">
        <v>246</v>
      </c>
      <c r="BQ16" s="4" t="s">
        <v>204</v>
      </c>
      <c r="CH16" s="4" t="s">
        <v>247</v>
      </c>
      <c r="CR16" s="4" t="s">
        <v>248</v>
      </c>
      <c r="DB16" s="4" t="s">
        <v>249</v>
      </c>
      <c r="DC16" s="4" t="s">
        <v>250</v>
      </c>
      <c r="DD16" s="4" t="s">
        <v>251</v>
      </c>
      <c r="DG16" s="4" t="s">
        <v>252</v>
      </c>
      <c r="DH16" s="4" t="s">
        <v>253</v>
      </c>
      <c r="DI16" s="4" t="s">
        <v>254</v>
      </c>
      <c r="DK16" s="4">
        <f>IF(CS15,1,0)</f>
        <v>0</v>
      </c>
      <c r="DL16" s="4">
        <f>IF(CT15,2,0)</f>
        <v>0</v>
      </c>
      <c r="DM16" s="4">
        <f>IF(CU15,3,0)</f>
        <v>0</v>
      </c>
    </row>
    <row r="17" spans="2:130" ht="23.25">
      <c r="B17" s="6"/>
      <c r="C17" s="6"/>
      <c r="D17" s="6"/>
      <c r="E17" s="6"/>
      <c r="F17" s="7" t="s">
        <v>255</v>
      </c>
      <c r="G17" s="8" t="s">
        <v>256</v>
      </c>
      <c r="H17" s="6"/>
      <c r="I17" s="6"/>
      <c r="J17" s="6"/>
      <c r="K17" s="6"/>
      <c r="L17" s="6"/>
      <c r="M17" s="6"/>
      <c r="N17" s="6"/>
      <c r="O17" s="6"/>
      <c r="P17" s="6"/>
      <c r="Q17" s="7" t="s">
        <v>257</v>
      </c>
      <c r="R17" s="8" t="s">
        <v>258</v>
      </c>
      <c r="S17" s="6"/>
      <c r="T17" s="6"/>
      <c r="U17" s="6"/>
      <c r="V17" s="6"/>
      <c r="W17" s="6"/>
      <c r="AC17" s="4" t="str">
        <v>N6</v>
      </c>
      <c r="AD17" s="4" t="str">
        <v>O6</v>
      </c>
      <c r="AE17" s="4" t="str">
        <v>P6</v>
      </c>
      <c r="AF17" s="4" t="str">
        <v>Q6</v>
      </c>
      <c r="AG17" s="4" t="str">
        <v>R6</v>
      </c>
      <c r="AH17" s="4" t="str">
        <v>S6</v>
      </c>
      <c r="AI17" s="4" t="str">
        <v>T6</v>
      </c>
      <c r="AJ17" s="4" t="str">
        <v>U6</v>
      </c>
      <c r="AK17" s="4" t="str">
        <v>V6</v>
      </c>
      <c r="AT17" s="4" cm="1">
        <f t="array" ref="AT17:AT25">Lz_SeqenceFromTo(AC9, AC10)</f>
        <v>5</v>
      </c>
      <c r="AU17" s="4" t="str" cm="1">
        <f t="array" ref="AU17:BC25">ADDRESS(_xlfn.ANCHORARRAY(AT17),_xlfn.ANCHORARRAY(AU16),4)</f>
        <v>N5</v>
      </c>
      <c r="AV17" s="4" t="str">
        <v>O5</v>
      </c>
      <c r="AW17" s="4" t="str">
        <v>P5</v>
      </c>
      <c r="AX17" s="4" t="str">
        <v>Q5</v>
      </c>
      <c r="AY17" s="4" t="str">
        <v>R5</v>
      </c>
      <c r="AZ17" s="4" t="str">
        <v>S5</v>
      </c>
      <c r="BA17" s="4" t="str">
        <v>T5</v>
      </c>
      <c r="BB17" s="4" t="str">
        <v>U5</v>
      </c>
      <c r="BC17" s="4" t="str">
        <v>V5</v>
      </c>
      <c r="BG17" s="4" cm="1">
        <f t="array" ref="BG17:BO25">_xlfn.MAP(_xlfn.ANCHORARRAY(AU17),_xlfn.LAMBDA(_xlpm.u,Lz_Distance(_xlpm.u,AC6)))</f>
        <v>8</v>
      </c>
      <c r="BH17" s="4">
        <v>8</v>
      </c>
      <c r="BI17" s="4">
        <v>8</v>
      </c>
      <c r="BJ17" s="4">
        <v>8</v>
      </c>
      <c r="BK17" s="4">
        <v>8</v>
      </c>
      <c r="BL17" s="4">
        <v>8</v>
      </c>
      <c r="BM17" s="4">
        <v>8</v>
      </c>
      <c r="BN17" s="4">
        <v>8</v>
      </c>
      <c r="BO17" s="4">
        <v>8</v>
      </c>
      <c r="BQ17" s="4" cm="1">
        <f t="array" ref="BQ17:BY25">N5:V13</f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CH17" s="4" cm="1">
        <f t="array" ref="CH17:CP25">--(((_xlfn.ANCHORARRAY(AT17)=AC7)+(_xlfn.ANCHORARRAY(AU16)=AC8))&gt;0)</f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1</v>
      </c>
      <c r="CR17" s="4" t="str" cm="1">
        <f t="array" ref="CR17:CZ25">IF(_xlfn.ANCHORARRAY(CR43),_xlfn.ANCHORARRAY(AU17),"")</f>
        <v>N5</v>
      </c>
      <c r="CS17" s="4" t="str">
        <v/>
      </c>
      <c r="CT17" s="4" t="str">
        <v/>
      </c>
      <c r="CU17" s="4" t="str">
        <v/>
      </c>
      <c r="CV17" s="4" t="str">
        <v/>
      </c>
      <c r="CW17" s="4" t="str">
        <v/>
      </c>
      <c r="CX17" s="4" t="str">
        <v/>
      </c>
      <c r="CY17" s="4" t="str">
        <v/>
      </c>
      <c r="CZ17" s="4" t="str">
        <v>V5</v>
      </c>
      <c r="DB17" s="4" cm="1">
        <f t="array" ref="DB17:DB97">_xlfn.TOCOL(_xlfn.ANCHORARRAY(CR43)*_xlfn.ANCHORARRAY(BG17))</f>
        <v>8</v>
      </c>
      <c r="DC17" s="4" t="str" cm="1">
        <f t="array" ref="DC17:DC97">_xlfn.TOCOL(_xlfn.ANCHORARRAY(CR17))</f>
        <v>N5</v>
      </c>
      <c r="DD17" s="4" cm="1">
        <f t="array" ref="DD17:DD97">_xlfn.TOCOL(_xlfn.ANCHORARRAY(CR30))</f>
        <v>0</v>
      </c>
      <c r="DG17" s="4" cm="1">
        <f t="array" ref="DG17:DG40">_xlfn._xlws.FILTER(_xlfn.ANCHORARRAY(DB17),_xlfn.ANCHORARRAY(DB17)&lt;&gt;0)</f>
        <v>8</v>
      </c>
      <c r="DH17" s="4" t="str" cm="1">
        <f t="array" ref="DH17:DH40">_xlfn._xlws.FILTER(_xlfn.ANCHORARRAY(DC17),_xlfn.ANCHORARRAY(DB17)&lt;&gt;0)</f>
        <v>N5</v>
      </c>
      <c r="DI17" s="4" cm="1">
        <f t="array" ref="DI17:DI40">_xlfn._xlws.FILTER(_xlfn.ANCHORARRAY(DD17),_xlfn.ANCHORARRAY(DB17)&lt;&gt;0)</f>
        <v>0</v>
      </c>
      <c r="DK17" s="4" t="str" cm="1">
        <f t="array" ref="DK17:DM40">_xlfn.SORTBY(_xlfn.HSTACK(_xlfn.ANCHORARRAY(DH17),_xlfn.ANCHORARRAY(DG17),_xlfn.ANCHORARRAY(DI17)),_xlfn.ANCHORARRAY(DG17))</f>
        <v>U12</v>
      </c>
      <c r="DL17" s="4">
        <v>1</v>
      </c>
      <c r="DM17" s="4">
        <v>0</v>
      </c>
      <c r="DO17" s="4" t="str" cm="1">
        <f t="array" ref="DO17:DO40">IF(CV15,_xlfn.ANCHORARRAY(CR17),IF(CS15+CT15+CU15,_xlfn.CHOOSECOLS(_xlfn.ANCHORARRAY(DK17),_xlfn._xlws.FILTER(DK16:DM16,DK16:DM16&lt;&gt;0)),_xlfn.CHOOSECOLS(_xlfn.ANCHORARRAY(DK17),1)))</f>
        <v>U12</v>
      </c>
    </row>
    <row r="18" spans="2:130">
      <c r="B18" s="6"/>
      <c r="C18" s="6"/>
      <c r="D18" s="9"/>
      <c r="E18" s="6"/>
      <c r="F18" s="9"/>
      <c r="G18" s="6"/>
      <c r="H18" s="13"/>
      <c r="I18" s="6"/>
      <c r="J18" s="9"/>
      <c r="K18" s="15"/>
      <c r="L18" s="6"/>
      <c r="M18" s="6"/>
      <c r="N18" s="6"/>
      <c r="O18" s="13"/>
      <c r="P18" s="6"/>
      <c r="Q18" s="9"/>
      <c r="R18" s="6"/>
      <c r="S18" s="9"/>
      <c r="T18" s="6"/>
      <c r="U18" s="9"/>
      <c r="V18" s="15"/>
      <c r="W18" s="6"/>
      <c r="AC18" s="4" t="str">
        <v>N7</v>
      </c>
      <c r="AD18" s="4" t="str">
        <v>O7</v>
      </c>
      <c r="AE18" s="4" t="str">
        <v>P7</v>
      </c>
      <c r="AF18" s="4" t="str">
        <v>Q7</v>
      </c>
      <c r="AG18" s="4" t="str">
        <v>R7</v>
      </c>
      <c r="AH18" s="4" t="str">
        <v>S7</v>
      </c>
      <c r="AI18" s="4" t="str">
        <v>T7</v>
      </c>
      <c r="AJ18" s="4" t="str">
        <v>U7</v>
      </c>
      <c r="AK18" s="4" t="str">
        <v>V7</v>
      </c>
      <c r="AT18" s="4">
        <v>6</v>
      </c>
      <c r="AU18" s="4" t="str">
        <v>N6</v>
      </c>
      <c r="AV18" s="4" t="str">
        <v>O6</v>
      </c>
      <c r="AW18" s="4" t="str">
        <v>P6</v>
      </c>
      <c r="AX18" s="4" t="str">
        <v>Q6</v>
      </c>
      <c r="AY18" s="4" t="str">
        <v>R6</v>
      </c>
      <c r="AZ18" s="4" t="str">
        <v>S6</v>
      </c>
      <c r="BA18" s="4" t="str">
        <v>T6</v>
      </c>
      <c r="BB18" s="4" t="str">
        <v>U6</v>
      </c>
      <c r="BC18" s="4" t="str">
        <v>V6</v>
      </c>
      <c r="BG18" s="4">
        <v>8</v>
      </c>
      <c r="BH18" s="4">
        <v>7</v>
      </c>
      <c r="BI18" s="4">
        <v>7</v>
      </c>
      <c r="BJ18" s="4">
        <v>7</v>
      </c>
      <c r="BK18" s="4">
        <v>7</v>
      </c>
      <c r="BL18" s="4">
        <v>7</v>
      </c>
      <c r="BM18" s="4">
        <v>7</v>
      </c>
      <c r="BN18" s="4">
        <v>7</v>
      </c>
      <c r="BO18" s="4">
        <v>7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1</v>
      </c>
      <c r="CR18" s="4" t="str">
        <v/>
      </c>
      <c r="CS18" s="4" t="str">
        <v>O6</v>
      </c>
      <c r="CT18" s="4" t="str">
        <v/>
      </c>
      <c r="CU18" s="4" t="str">
        <v/>
      </c>
      <c r="CV18" s="4" t="str">
        <v/>
      </c>
      <c r="CW18" s="4" t="str">
        <v/>
      </c>
      <c r="CX18" s="4" t="str">
        <v/>
      </c>
      <c r="CY18" s="4" t="str">
        <v/>
      </c>
      <c r="CZ18" s="4" t="str">
        <v>V6</v>
      </c>
      <c r="DB18" s="4">
        <v>0</v>
      </c>
      <c r="DC18" s="4" t="str">
        <v/>
      </c>
      <c r="DD18" s="4" t="str">
        <v/>
      </c>
      <c r="DG18" s="4">
        <v>8</v>
      </c>
      <c r="DH18" s="4" t="str">
        <v>V5</v>
      </c>
      <c r="DI18" s="4">
        <v>0</v>
      </c>
      <c r="DK18" s="4" t="str">
        <v>V12</v>
      </c>
      <c r="DL18" s="4">
        <v>1</v>
      </c>
      <c r="DM18" s="4">
        <v>0</v>
      </c>
      <c r="DO18" s="4" t="str">
        <v>V12</v>
      </c>
    </row>
    <row r="19" spans="2:130">
      <c r="B19" s="6"/>
      <c r="C19" s="9"/>
      <c r="D19" s="6"/>
      <c r="E19" s="9"/>
      <c r="F19" s="6"/>
      <c r="G19" s="9"/>
      <c r="H19" s="13"/>
      <c r="I19" s="9"/>
      <c r="J19" s="6"/>
      <c r="K19" s="9"/>
      <c r="L19" s="6"/>
      <c r="M19" s="6"/>
      <c r="N19" s="9"/>
      <c r="O19" s="6"/>
      <c r="P19" s="13"/>
      <c r="Q19" s="6"/>
      <c r="R19" s="9"/>
      <c r="S19" s="6"/>
      <c r="T19" s="9"/>
      <c r="U19" s="6"/>
      <c r="V19" s="13"/>
      <c r="W19" s="6"/>
      <c r="AC19" s="4" t="str">
        <v>N8</v>
      </c>
      <c r="AD19" s="4" t="str">
        <v>O8</v>
      </c>
      <c r="AE19" s="4" t="str">
        <v>P8</v>
      </c>
      <c r="AF19" s="4" t="str">
        <v>Q8</v>
      </c>
      <c r="AG19" s="4" t="str">
        <v>R8</v>
      </c>
      <c r="AH19" s="4" t="str">
        <v>S8</v>
      </c>
      <c r="AI19" s="4" t="str">
        <v>T8</v>
      </c>
      <c r="AJ19" s="4" t="str">
        <v>U8</v>
      </c>
      <c r="AK19" s="4" t="str">
        <v>V8</v>
      </c>
      <c r="AT19" s="4">
        <v>7</v>
      </c>
      <c r="AU19" s="4" t="str">
        <v>N7</v>
      </c>
      <c r="AV19" s="4" t="str">
        <v>O7</v>
      </c>
      <c r="AW19" s="4" t="str">
        <v>P7</v>
      </c>
      <c r="AX19" s="4" t="str">
        <v>Q7</v>
      </c>
      <c r="AY19" s="4" t="str">
        <v>R7</v>
      </c>
      <c r="AZ19" s="4" t="str">
        <v>S7</v>
      </c>
      <c r="BA19" s="4" t="str">
        <v>T7</v>
      </c>
      <c r="BB19" s="4" t="str">
        <v>U7</v>
      </c>
      <c r="BC19" s="4" t="str">
        <v>V7</v>
      </c>
      <c r="BG19" s="4">
        <v>8</v>
      </c>
      <c r="BH19" s="4">
        <v>7</v>
      </c>
      <c r="BI19" s="4">
        <v>6</v>
      </c>
      <c r="BJ19" s="4">
        <v>6</v>
      </c>
      <c r="BK19" s="4">
        <v>6</v>
      </c>
      <c r="BL19" s="4">
        <v>6</v>
      </c>
      <c r="BM19" s="4">
        <v>6</v>
      </c>
      <c r="BN19" s="4">
        <v>6</v>
      </c>
      <c r="BO19" s="4">
        <v>6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1</v>
      </c>
      <c r="CR19" s="4" t="str">
        <v/>
      </c>
      <c r="CS19" s="4" t="str">
        <v/>
      </c>
      <c r="CT19" s="4" t="str">
        <v>P7</v>
      </c>
      <c r="CU19" s="4" t="str">
        <v/>
      </c>
      <c r="CV19" s="4" t="str">
        <v/>
      </c>
      <c r="CW19" s="4" t="str">
        <v/>
      </c>
      <c r="CX19" s="4" t="str">
        <v/>
      </c>
      <c r="CY19" s="4" t="str">
        <v/>
      </c>
      <c r="CZ19" s="4" t="str">
        <v>V7</v>
      </c>
      <c r="DB19" s="4">
        <v>0</v>
      </c>
      <c r="DC19" s="4" t="str">
        <v/>
      </c>
      <c r="DD19" s="4" t="str">
        <v/>
      </c>
      <c r="DG19" s="4">
        <v>7</v>
      </c>
      <c r="DH19" s="4" t="str">
        <v>O6</v>
      </c>
      <c r="DI19" s="4">
        <v>0</v>
      </c>
      <c r="DK19" s="4" t="str">
        <v>U13</v>
      </c>
      <c r="DL19" s="4">
        <v>1</v>
      </c>
      <c r="DM19" s="4">
        <v>0</v>
      </c>
      <c r="DO19" s="4" t="str">
        <v>U13</v>
      </c>
    </row>
    <row r="20" spans="2:130">
      <c r="B20" s="6"/>
      <c r="C20" s="6"/>
      <c r="D20" s="9"/>
      <c r="E20" s="6"/>
      <c r="F20" s="9"/>
      <c r="G20" s="6"/>
      <c r="H20" s="13"/>
      <c r="I20" s="6"/>
      <c r="J20" s="9"/>
      <c r="K20" s="15"/>
      <c r="L20" s="6"/>
      <c r="M20" s="6"/>
      <c r="N20" s="6"/>
      <c r="O20" s="9"/>
      <c r="P20" s="6"/>
      <c r="Q20" s="13"/>
      <c r="R20" s="6"/>
      <c r="S20" s="9"/>
      <c r="T20" s="6"/>
      <c r="U20" s="13"/>
      <c r="V20" s="15"/>
      <c r="W20" s="6"/>
      <c r="AC20" s="4" t="str">
        <v>N9</v>
      </c>
      <c r="AD20" s="4" t="str">
        <v>O9</v>
      </c>
      <c r="AE20" s="4" t="str">
        <v>P9</v>
      </c>
      <c r="AF20" s="4" t="str">
        <v>Q9</v>
      </c>
      <c r="AG20" s="4" t="str">
        <v>R9</v>
      </c>
      <c r="AH20" s="4" t="str">
        <v>S9</v>
      </c>
      <c r="AI20" s="4" t="str">
        <v>T9</v>
      </c>
      <c r="AJ20" s="4" t="str">
        <v>U9</v>
      </c>
      <c r="AK20" s="4" t="str">
        <v>V9</v>
      </c>
      <c r="AT20" s="4">
        <v>8</v>
      </c>
      <c r="AU20" s="4" t="str">
        <v>N8</v>
      </c>
      <c r="AV20" s="4" t="str">
        <v>O8</v>
      </c>
      <c r="AW20" s="4" t="str">
        <v>P8</v>
      </c>
      <c r="AX20" s="4" t="str">
        <v>Q8</v>
      </c>
      <c r="AY20" s="4" t="str">
        <v>R8</v>
      </c>
      <c r="AZ20" s="4" t="str">
        <v>S8</v>
      </c>
      <c r="BA20" s="4" t="str">
        <v>T8</v>
      </c>
      <c r="BB20" s="4" t="str">
        <v>U8</v>
      </c>
      <c r="BC20" s="4" t="str">
        <v>V8</v>
      </c>
      <c r="BG20" s="4">
        <v>8</v>
      </c>
      <c r="BH20" s="4">
        <v>7</v>
      </c>
      <c r="BI20" s="4">
        <v>6</v>
      </c>
      <c r="BJ20" s="4">
        <v>5</v>
      </c>
      <c r="BK20" s="4">
        <v>5</v>
      </c>
      <c r="BL20" s="4">
        <v>5</v>
      </c>
      <c r="BM20" s="4">
        <v>5</v>
      </c>
      <c r="BN20" s="4">
        <v>5</v>
      </c>
      <c r="BO20" s="4">
        <v>5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1</v>
      </c>
      <c r="CR20" s="4" t="str">
        <v/>
      </c>
      <c r="CS20" s="4" t="str">
        <v/>
      </c>
      <c r="CT20" s="4" t="str">
        <v/>
      </c>
      <c r="CU20" s="4" t="str">
        <v>Q8</v>
      </c>
      <c r="CV20" s="4" t="str">
        <v/>
      </c>
      <c r="CW20" s="4" t="str">
        <v/>
      </c>
      <c r="CX20" s="4" t="str">
        <v/>
      </c>
      <c r="CY20" s="4" t="str">
        <v/>
      </c>
      <c r="CZ20" s="4" t="str">
        <v>V8</v>
      </c>
      <c r="DB20" s="4">
        <v>0</v>
      </c>
      <c r="DC20" s="4" t="str">
        <v/>
      </c>
      <c r="DD20" s="4" t="str">
        <v/>
      </c>
      <c r="DG20" s="4">
        <v>7</v>
      </c>
      <c r="DH20" s="4" t="str">
        <v>V6</v>
      </c>
      <c r="DI20" s="4">
        <v>0</v>
      </c>
      <c r="DK20" s="4" t="str">
        <v>T11</v>
      </c>
      <c r="DL20" s="4">
        <v>2</v>
      </c>
      <c r="DM20" s="4">
        <v>0</v>
      </c>
      <c r="DO20" s="4" t="str">
        <v>T11</v>
      </c>
    </row>
    <row r="21" spans="2:130">
      <c r="B21" s="6"/>
      <c r="C21" s="9"/>
      <c r="D21" s="6"/>
      <c r="E21" s="9"/>
      <c r="F21" s="6"/>
      <c r="G21" s="9"/>
      <c r="H21" s="13"/>
      <c r="I21" s="9"/>
      <c r="J21" s="6"/>
      <c r="K21" s="9"/>
      <c r="L21" s="6"/>
      <c r="M21" s="6"/>
      <c r="N21" s="9"/>
      <c r="O21" s="6"/>
      <c r="P21" s="9"/>
      <c r="Q21" s="6"/>
      <c r="R21" s="13"/>
      <c r="S21" s="6"/>
      <c r="T21" s="13"/>
      <c r="U21" s="6"/>
      <c r="V21" s="9"/>
      <c r="W21" s="6"/>
      <c r="AC21" s="4" t="str">
        <v>N10</v>
      </c>
      <c r="AD21" s="4" t="str">
        <v>O10</v>
      </c>
      <c r="AE21" s="4" t="str">
        <v>P10</v>
      </c>
      <c r="AF21" s="4" t="str">
        <v>Q10</v>
      </c>
      <c r="AG21" s="4" t="str">
        <v>R10</v>
      </c>
      <c r="AH21" s="4" t="str">
        <v>S10</v>
      </c>
      <c r="AI21" s="4" t="str">
        <v>T10</v>
      </c>
      <c r="AJ21" s="4" t="str">
        <v>U10</v>
      </c>
      <c r="AK21" s="4" t="str">
        <v>V10</v>
      </c>
      <c r="AT21" s="4">
        <v>9</v>
      </c>
      <c r="AU21" s="4" t="str">
        <v>N9</v>
      </c>
      <c r="AV21" s="4" t="str">
        <v>O9</v>
      </c>
      <c r="AW21" s="4" t="str">
        <v>P9</v>
      </c>
      <c r="AX21" s="4" t="str">
        <v>Q9</v>
      </c>
      <c r="AY21" s="4" t="str">
        <v>R9</v>
      </c>
      <c r="AZ21" s="4" t="str">
        <v>S9</v>
      </c>
      <c r="BA21" s="4" t="str">
        <v>T9</v>
      </c>
      <c r="BB21" s="4" t="str">
        <v>U9</v>
      </c>
      <c r="BC21" s="4" t="str">
        <v>V9</v>
      </c>
      <c r="BG21" s="4">
        <v>8</v>
      </c>
      <c r="BH21" s="4">
        <v>7</v>
      </c>
      <c r="BI21" s="4">
        <v>6</v>
      </c>
      <c r="BJ21" s="4">
        <v>5</v>
      </c>
      <c r="BK21" s="4">
        <v>4</v>
      </c>
      <c r="BL21" s="4">
        <v>4</v>
      </c>
      <c r="BM21" s="4">
        <v>4</v>
      </c>
      <c r="BN21" s="4">
        <v>4</v>
      </c>
      <c r="BO21" s="4">
        <v>4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 t="str">
        <v>♕</v>
      </c>
      <c r="BW21" s="4">
        <v>0</v>
      </c>
      <c r="BX21" s="4">
        <v>0</v>
      </c>
      <c r="BY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1</v>
      </c>
      <c r="CR21" s="4" t="str">
        <v/>
      </c>
      <c r="CS21" s="4" t="str">
        <v/>
      </c>
      <c r="CT21" s="4" t="str">
        <v/>
      </c>
      <c r="CU21" s="4" t="str">
        <v/>
      </c>
      <c r="CV21" s="4" t="str">
        <v>R9</v>
      </c>
      <c r="CW21" s="4" t="str">
        <v/>
      </c>
      <c r="CX21" s="4" t="str">
        <v/>
      </c>
      <c r="CY21" s="4" t="str">
        <v/>
      </c>
      <c r="CZ21" s="4" t="str">
        <v>V9</v>
      </c>
      <c r="DB21" s="4">
        <v>0</v>
      </c>
      <c r="DC21" s="4" t="str">
        <v/>
      </c>
      <c r="DD21" s="4" t="str">
        <v/>
      </c>
      <c r="DG21" s="4">
        <v>6</v>
      </c>
      <c r="DH21" s="4" t="str">
        <v>P7</v>
      </c>
      <c r="DI21" s="4">
        <v>0</v>
      </c>
      <c r="DK21" s="4" t="str">
        <v>V11</v>
      </c>
      <c r="DL21" s="4">
        <v>2</v>
      </c>
      <c r="DM21" s="4">
        <v>0</v>
      </c>
      <c r="DO21" s="4" t="str">
        <v>V11</v>
      </c>
    </row>
    <row r="22" spans="2:130">
      <c r="B22" s="6"/>
      <c r="C22" s="13"/>
      <c r="D22" s="13"/>
      <c r="E22" s="13"/>
      <c r="F22" s="13"/>
      <c r="G22" s="13"/>
      <c r="H22" s="14" t="s">
        <v>256</v>
      </c>
      <c r="I22" s="13"/>
      <c r="J22" s="13"/>
      <c r="K22" s="13"/>
      <c r="L22" s="6"/>
      <c r="M22" s="6"/>
      <c r="N22" s="6"/>
      <c r="O22" s="9"/>
      <c r="P22" s="6"/>
      <c r="Q22" s="9"/>
      <c r="R22" s="6"/>
      <c r="S22" s="14" t="s">
        <v>258</v>
      </c>
      <c r="T22" s="6"/>
      <c r="U22" s="9"/>
      <c r="V22" s="6"/>
      <c r="W22" s="6"/>
      <c r="AC22" s="4" t="str">
        <v>N11</v>
      </c>
      <c r="AD22" s="4" t="str">
        <v>O11</v>
      </c>
      <c r="AE22" s="4" t="str">
        <v>P11</v>
      </c>
      <c r="AF22" s="4" t="str">
        <v>Q11</v>
      </c>
      <c r="AG22" s="4" t="str">
        <v>R11</v>
      </c>
      <c r="AH22" s="4" t="str">
        <v>S11</v>
      </c>
      <c r="AI22" s="4" t="str">
        <v>T11</v>
      </c>
      <c r="AJ22" s="4" t="str">
        <v>U11</v>
      </c>
      <c r="AK22" s="4" t="str">
        <v>V11</v>
      </c>
      <c r="AT22" s="4">
        <v>10</v>
      </c>
      <c r="AU22" s="4" t="str">
        <v>N10</v>
      </c>
      <c r="AV22" s="4" t="str">
        <v>O10</v>
      </c>
      <c r="AW22" s="4" t="str">
        <v>P10</v>
      </c>
      <c r="AX22" s="4" t="str">
        <v>Q10</v>
      </c>
      <c r="AY22" s="4" t="str">
        <v>R10</v>
      </c>
      <c r="AZ22" s="4" t="str">
        <v>S10</v>
      </c>
      <c r="BA22" s="4" t="str">
        <v>T10</v>
      </c>
      <c r="BB22" s="4" t="str">
        <v>U10</v>
      </c>
      <c r="BC22" s="4" t="str">
        <v>V10</v>
      </c>
      <c r="BG22" s="4">
        <v>8</v>
      </c>
      <c r="BH22" s="4">
        <v>7</v>
      </c>
      <c r="BI22" s="4">
        <v>6</v>
      </c>
      <c r="BJ22" s="4">
        <v>5</v>
      </c>
      <c r="BK22" s="4">
        <v>4</v>
      </c>
      <c r="BL22" s="4">
        <v>3</v>
      </c>
      <c r="BM22" s="4">
        <v>3</v>
      </c>
      <c r="BN22" s="4">
        <v>3</v>
      </c>
      <c r="BO22" s="4">
        <v>3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1</v>
      </c>
      <c r="CR22" s="4" t="str">
        <v/>
      </c>
      <c r="CS22" s="4" t="str">
        <v/>
      </c>
      <c r="CT22" s="4" t="str">
        <v/>
      </c>
      <c r="CU22" s="4" t="str">
        <v/>
      </c>
      <c r="CV22" s="4" t="str">
        <v/>
      </c>
      <c r="CW22" s="4" t="str">
        <v>S10</v>
      </c>
      <c r="CX22" s="4" t="str">
        <v/>
      </c>
      <c r="CY22" s="4" t="str">
        <v/>
      </c>
      <c r="CZ22" s="4" t="str">
        <v>V10</v>
      </c>
      <c r="DB22" s="4">
        <v>0</v>
      </c>
      <c r="DC22" s="4" t="str">
        <v/>
      </c>
      <c r="DD22" s="4" t="str">
        <v/>
      </c>
      <c r="DG22" s="4">
        <v>6</v>
      </c>
      <c r="DH22" s="4" t="str">
        <v>V7</v>
      </c>
      <c r="DI22" s="4">
        <v>0</v>
      </c>
      <c r="DK22" s="4" t="str">
        <v>T13</v>
      </c>
      <c r="DL22" s="4">
        <v>2</v>
      </c>
      <c r="DM22" s="4">
        <v>0</v>
      </c>
      <c r="DO22" s="4" t="str">
        <v>T13</v>
      </c>
    </row>
    <row r="23" spans="2:130">
      <c r="B23" s="6"/>
      <c r="C23" s="9"/>
      <c r="D23" s="6"/>
      <c r="E23" s="9"/>
      <c r="F23" s="6"/>
      <c r="G23" s="9"/>
      <c r="H23" s="13"/>
      <c r="I23" s="9"/>
      <c r="J23" s="6"/>
      <c r="K23" s="9"/>
      <c r="L23" s="6"/>
      <c r="M23" s="6"/>
      <c r="N23" s="9"/>
      <c r="O23" s="6"/>
      <c r="P23" s="9"/>
      <c r="Q23" s="6"/>
      <c r="R23" s="13"/>
      <c r="S23" s="6"/>
      <c r="T23" s="13"/>
      <c r="U23" s="6"/>
      <c r="V23" s="9"/>
      <c r="W23" s="6"/>
      <c r="AC23" s="4" t="str">
        <v>N12</v>
      </c>
      <c r="AD23" s="4" t="str">
        <v>O12</v>
      </c>
      <c r="AE23" s="4" t="str">
        <v>P12</v>
      </c>
      <c r="AF23" s="4" t="str">
        <v>Q12</v>
      </c>
      <c r="AG23" s="4" t="str">
        <v>R12</v>
      </c>
      <c r="AH23" s="4" t="str">
        <v>S12</v>
      </c>
      <c r="AI23" s="4" t="str">
        <v>T12</v>
      </c>
      <c r="AJ23" s="4" t="str">
        <v>U12</v>
      </c>
      <c r="AK23" s="4" t="str">
        <v>V12</v>
      </c>
      <c r="AT23" s="4">
        <v>11</v>
      </c>
      <c r="AU23" s="4" t="str">
        <v>N11</v>
      </c>
      <c r="AV23" s="4" t="str">
        <v>O11</v>
      </c>
      <c r="AW23" s="4" t="str">
        <v>P11</v>
      </c>
      <c r="AX23" s="4" t="str">
        <v>Q11</v>
      </c>
      <c r="AY23" s="4" t="str">
        <v>R11</v>
      </c>
      <c r="AZ23" s="4" t="str">
        <v>S11</v>
      </c>
      <c r="BA23" s="4" t="str">
        <v>T11</v>
      </c>
      <c r="BB23" s="4" t="str">
        <v>U11</v>
      </c>
      <c r="BC23" s="4" t="str">
        <v>V11</v>
      </c>
      <c r="BG23" s="4">
        <v>8</v>
      </c>
      <c r="BH23" s="4">
        <v>7</v>
      </c>
      <c r="BI23" s="4">
        <v>6</v>
      </c>
      <c r="BJ23" s="4">
        <v>5</v>
      </c>
      <c r="BK23" s="4">
        <v>4</v>
      </c>
      <c r="BL23" s="4">
        <v>3</v>
      </c>
      <c r="BM23" s="4">
        <v>2</v>
      </c>
      <c r="BN23" s="4">
        <v>2</v>
      </c>
      <c r="BO23" s="4">
        <v>2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1</v>
      </c>
      <c r="CR23" s="4" t="str">
        <v/>
      </c>
      <c r="CS23" s="4" t="str">
        <v/>
      </c>
      <c r="CT23" s="4" t="str">
        <v/>
      </c>
      <c r="CU23" s="4" t="str">
        <v/>
      </c>
      <c r="CV23" s="4" t="str">
        <v/>
      </c>
      <c r="CW23" s="4" t="str">
        <v/>
      </c>
      <c r="CX23" s="4" t="str">
        <v>T11</v>
      </c>
      <c r="CY23" s="4" t="str">
        <v/>
      </c>
      <c r="CZ23" s="4" t="str">
        <v>V11</v>
      </c>
      <c r="DB23" s="4">
        <v>0</v>
      </c>
      <c r="DC23" s="4" t="str">
        <v/>
      </c>
      <c r="DD23" s="4" t="str">
        <v/>
      </c>
      <c r="DG23" s="4">
        <v>5</v>
      </c>
      <c r="DH23" s="4" t="str">
        <v>Q8</v>
      </c>
      <c r="DI23" s="4">
        <v>0</v>
      </c>
      <c r="DK23" s="4" t="str">
        <v>S10</v>
      </c>
      <c r="DL23" s="4">
        <v>3</v>
      </c>
      <c r="DM23" s="4">
        <v>0</v>
      </c>
      <c r="DO23" s="4" t="str">
        <v>S10</v>
      </c>
    </row>
    <row r="24" spans="2:130">
      <c r="B24" s="6"/>
      <c r="C24" s="6"/>
      <c r="D24" s="9"/>
      <c r="E24" s="6"/>
      <c r="F24" s="9"/>
      <c r="G24" s="6"/>
      <c r="H24" s="13"/>
      <c r="I24" s="6"/>
      <c r="J24" s="9"/>
      <c r="K24" s="15"/>
      <c r="L24" s="6"/>
      <c r="M24" s="6"/>
      <c r="N24" s="6"/>
      <c r="O24" s="9"/>
      <c r="P24" s="6"/>
      <c r="Q24" s="13"/>
      <c r="R24" s="6"/>
      <c r="S24" s="9"/>
      <c r="T24" s="6"/>
      <c r="U24" s="13"/>
      <c r="V24" s="15"/>
      <c r="W24" s="6"/>
      <c r="AC24" s="4" t="str">
        <v>N13</v>
      </c>
      <c r="AD24" s="4" t="str">
        <v>O13</v>
      </c>
      <c r="AE24" s="4" t="str">
        <v>P13</v>
      </c>
      <c r="AF24" s="4" t="str">
        <v>Q13</v>
      </c>
      <c r="AG24" s="4" t="str">
        <v>R13</v>
      </c>
      <c r="AH24" s="4" t="str">
        <v>S13</v>
      </c>
      <c r="AI24" s="4" t="str">
        <v>T13</v>
      </c>
      <c r="AJ24" s="4" t="str">
        <v>U13</v>
      </c>
      <c r="AK24" s="4" t="str">
        <v>V13</v>
      </c>
      <c r="AT24" s="4">
        <v>12</v>
      </c>
      <c r="AU24" s="4" t="str">
        <v>N12</v>
      </c>
      <c r="AV24" s="4" t="str">
        <v>O12</v>
      </c>
      <c r="AW24" s="4" t="str">
        <v>P12</v>
      </c>
      <c r="AX24" s="4" t="str">
        <v>Q12</v>
      </c>
      <c r="AY24" s="4" t="str">
        <v>R12</v>
      </c>
      <c r="AZ24" s="4" t="str">
        <v>S12</v>
      </c>
      <c r="BA24" s="4" t="str">
        <v>T12</v>
      </c>
      <c r="BB24" s="4" t="str">
        <v>U12</v>
      </c>
      <c r="BC24" s="4" t="str">
        <v>V12</v>
      </c>
      <c r="BG24" s="4">
        <v>8</v>
      </c>
      <c r="BH24" s="4">
        <v>7</v>
      </c>
      <c r="BI24" s="4">
        <v>6</v>
      </c>
      <c r="BJ24" s="4">
        <v>5</v>
      </c>
      <c r="BK24" s="4">
        <v>4</v>
      </c>
      <c r="BL24" s="4">
        <v>3</v>
      </c>
      <c r="BM24" s="4">
        <v>2</v>
      </c>
      <c r="BN24" s="4">
        <v>1</v>
      </c>
      <c r="BO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1</v>
      </c>
      <c r="CR24" s="4" t="str">
        <v/>
      </c>
      <c r="CS24" s="4" t="str">
        <v/>
      </c>
      <c r="CT24" s="4" t="str">
        <v/>
      </c>
      <c r="CU24" s="4" t="str">
        <v/>
      </c>
      <c r="CV24" s="4" t="str">
        <v/>
      </c>
      <c r="CW24" s="4" t="str">
        <v/>
      </c>
      <c r="CX24" s="4" t="str">
        <v/>
      </c>
      <c r="CY24" s="4" t="str">
        <v>U12</v>
      </c>
      <c r="CZ24" s="4" t="str">
        <v>V12</v>
      </c>
      <c r="DB24" s="4">
        <v>0</v>
      </c>
      <c r="DC24" s="4" t="str">
        <v/>
      </c>
      <c r="DD24" s="4" t="str">
        <v/>
      </c>
      <c r="DG24" s="4">
        <v>5</v>
      </c>
      <c r="DH24" s="4" t="str">
        <v>V8</v>
      </c>
      <c r="DI24" s="4">
        <v>0</v>
      </c>
      <c r="DK24" s="4" t="str">
        <v>V10</v>
      </c>
      <c r="DL24" s="4">
        <v>3</v>
      </c>
      <c r="DM24" s="4">
        <v>0</v>
      </c>
      <c r="DO24" s="4" t="str">
        <v>V10</v>
      </c>
    </row>
    <row r="25" spans="2:130">
      <c r="B25" s="6"/>
      <c r="C25" s="9"/>
      <c r="D25" s="6"/>
      <c r="E25" s="9"/>
      <c r="F25" s="6"/>
      <c r="G25" s="9"/>
      <c r="H25" s="13"/>
      <c r="I25" s="9"/>
      <c r="J25" s="6"/>
      <c r="K25" s="9"/>
      <c r="L25" s="6"/>
      <c r="M25" s="6"/>
      <c r="N25" s="9"/>
      <c r="O25" s="6"/>
      <c r="P25" s="13"/>
      <c r="Q25" s="6"/>
      <c r="R25" s="9"/>
      <c r="S25" s="6"/>
      <c r="T25" s="9"/>
      <c r="U25" s="6"/>
      <c r="V25" s="13"/>
      <c r="W25" s="6"/>
      <c r="AT25" s="4">
        <v>13</v>
      </c>
      <c r="AU25" s="4" t="str">
        <v>N13</v>
      </c>
      <c r="AV25" s="4" t="str">
        <v>O13</v>
      </c>
      <c r="AW25" s="4" t="str">
        <v>P13</v>
      </c>
      <c r="AX25" s="4" t="str">
        <v>Q13</v>
      </c>
      <c r="AY25" s="4" t="str">
        <v>R13</v>
      </c>
      <c r="AZ25" s="4" t="str">
        <v>S13</v>
      </c>
      <c r="BA25" s="4" t="str">
        <v>T13</v>
      </c>
      <c r="BB25" s="4" t="str">
        <v>U13</v>
      </c>
      <c r="BC25" s="4" t="str">
        <v>V13</v>
      </c>
      <c r="BG25" s="4">
        <v>8</v>
      </c>
      <c r="BH25" s="4">
        <v>7</v>
      </c>
      <c r="BI25" s="4">
        <v>6</v>
      </c>
      <c r="BJ25" s="4">
        <v>5</v>
      </c>
      <c r="BK25" s="4">
        <v>4</v>
      </c>
      <c r="BL25" s="4">
        <v>3</v>
      </c>
      <c r="BM25" s="4">
        <v>2</v>
      </c>
      <c r="BN25" s="4">
        <v>1</v>
      </c>
      <c r="BO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CH25" s="4">
        <v>1</v>
      </c>
      <c r="CI25" s="4">
        <v>1</v>
      </c>
      <c r="CJ25" s="4">
        <v>1</v>
      </c>
      <c r="CK25" s="4">
        <v>1</v>
      </c>
      <c r="CL25" s="4">
        <v>1</v>
      </c>
      <c r="CM25" s="4">
        <v>1</v>
      </c>
      <c r="CN25" s="4">
        <v>1</v>
      </c>
      <c r="CO25" s="4">
        <v>1</v>
      </c>
      <c r="CP25" s="4">
        <v>1</v>
      </c>
      <c r="CR25" s="4" t="str">
        <v>N13</v>
      </c>
      <c r="CS25" s="4" t="str">
        <v>O13</v>
      </c>
      <c r="CT25" s="4" t="str">
        <v>P13</v>
      </c>
      <c r="CU25" s="4" t="str">
        <v>Q13</v>
      </c>
      <c r="CV25" s="4" t="str">
        <v>R13</v>
      </c>
      <c r="CW25" s="4" t="str">
        <v>S13</v>
      </c>
      <c r="CX25" s="4" t="str">
        <v>T13</v>
      </c>
      <c r="CY25" s="4" t="str">
        <v>U13</v>
      </c>
      <c r="CZ25" s="4" t="str">
        <v>V13</v>
      </c>
      <c r="DB25" s="4">
        <v>8</v>
      </c>
      <c r="DC25" s="4" t="str">
        <v>V5</v>
      </c>
      <c r="DD25" s="4">
        <v>0</v>
      </c>
      <c r="DG25" s="4">
        <v>4</v>
      </c>
      <c r="DH25" s="4" t="str">
        <v>R9</v>
      </c>
      <c r="DI25" s="4">
        <v>0</v>
      </c>
      <c r="DK25" s="4" t="str">
        <v>S13</v>
      </c>
      <c r="DL25" s="4">
        <v>3</v>
      </c>
      <c r="DM25" s="4">
        <v>0</v>
      </c>
      <c r="DO25" s="4" t="str">
        <v>S13</v>
      </c>
    </row>
    <row r="26" spans="2:130">
      <c r="B26" s="6"/>
      <c r="C26" s="15"/>
      <c r="D26" s="9"/>
      <c r="E26" s="15"/>
      <c r="F26" s="9"/>
      <c r="G26" s="15"/>
      <c r="H26" s="13"/>
      <c r="I26" s="15"/>
      <c r="J26" s="9"/>
      <c r="K26" s="6"/>
      <c r="L26" s="6"/>
      <c r="M26" s="6"/>
      <c r="N26" s="15"/>
      <c r="O26" s="13"/>
      <c r="P26" s="15"/>
      <c r="Q26" s="9"/>
      <c r="R26" s="15"/>
      <c r="S26" s="9"/>
      <c r="T26" s="15"/>
      <c r="U26" s="9"/>
      <c r="V26" s="6"/>
      <c r="W26" s="6"/>
      <c r="DB26" s="4">
        <v>0</v>
      </c>
      <c r="DC26" s="4" t="str">
        <v/>
      </c>
      <c r="DD26" s="4" t="str">
        <v/>
      </c>
      <c r="DG26" s="4">
        <v>4</v>
      </c>
      <c r="DH26" s="4" t="str">
        <v>V9</v>
      </c>
      <c r="DI26" s="4">
        <v>0</v>
      </c>
      <c r="DK26" s="4" t="str">
        <v>R9</v>
      </c>
      <c r="DL26" s="4">
        <v>4</v>
      </c>
      <c r="DM26" s="4">
        <v>0</v>
      </c>
      <c r="DO26" s="4" t="str">
        <v>R9</v>
      </c>
    </row>
    <row r="27" spans="2:130">
      <c r="B27" s="6"/>
      <c r="C27" s="15"/>
      <c r="D27" s="15"/>
      <c r="E27" s="15"/>
      <c r="F27" s="15"/>
      <c r="G27" s="15"/>
      <c r="H27" s="15"/>
      <c r="I27" s="15"/>
      <c r="J27" s="15"/>
      <c r="K27" s="6"/>
      <c r="L27" s="6"/>
      <c r="M27" s="6"/>
      <c r="N27" s="15"/>
      <c r="O27" s="15"/>
      <c r="P27" s="15"/>
      <c r="Q27" s="15"/>
      <c r="R27" s="15"/>
      <c r="S27" s="15"/>
      <c r="T27" s="15"/>
      <c r="U27" s="15"/>
      <c r="V27" s="6"/>
      <c r="W27" s="6"/>
      <c r="DB27" s="4">
        <v>7</v>
      </c>
      <c r="DC27" s="4" t="str">
        <v>O6</v>
      </c>
      <c r="DD27" s="4">
        <v>0</v>
      </c>
      <c r="DG27" s="4">
        <v>3</v>
      </c>
      <c r="DH27" s="4" t="str">
        <v>S10</v>
      </c>
      <c r="DI27" s="4">
        <v>0</v>
      </c>
      <c r="DK27" s="4" t="str">
        <v>V9</v>
      </c>
      <c r="DL27" s="4">
        <v>4</v>
      </c>
      <c r="DM27" s="4">
        <v>0</v>
      </c>
      <c r="DO27" s="4" t="str">
        <v>V9</v>
      </c>
    </row>
    <row r="28" spans="2:130" ht="68.25" customHeight="1">
      <c r="B28" s="6"/>
      <c r="C28" s="59" t="s">
        <v>259</v>
      </c>
      <c r="D28" s="59"/>
      <c r="E28" s="59"/>
      <c r="F28" s="59"/>
      <c r="G28" s="59"/>
      <c r="H28" s="59"/>
      <c r="I28" s="59"/>
      <c r="J28" s="59"/>
      <c r="K28" s="59"/>
      <c r="L28" s="6"/>
      <c r="M28" s="6"/>
      <c r="N28" s="59" t="s">
        <v>260</v>
      </c>
      <c r="O28" s="59"/>
      <c r="P28" s="59"/>
      <c r="Q28" s="59"/>
      <c r="R28" s="59"/>
      <c r="S28" s="59"/>
      <c r="T28" s="59"/>
      <c r="U28" s="59"/>
      <c r="V28" s="59"/>
      <c r="W28" s="6"/>
      <c r="DB28" s="4">
        <v>0</v>
      </c>
      <c r="DC28" s="4" t="str">
        <v/>
      </c>
      <c r="DD28" s="4" t="str">
        <v/>
      </c>
      <c r="DG28" s="4">
        <v>3</v>
      </c>
      <c r="DH28" s="4" t="str">
        <v>V10</v>
      </c>
      <c r="DI28" s="4">
        <v>0</v>
      </c>
      <c r="DK28" s="4" t="str">
        <v>R13</v>
      </c>
      <c r="DL28" s="4">
        <v>4</v>
      </c>
      <c r="DM28" s="4">
        <v>0</v>
      </c>
      <c r="DO28" s="4" t="str">
        <v>R13</v>
      </c>
    </row>
    <row r="29" spans="2:130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CH29" s="4" t="s">
        <v>261</v>
      </c>
      <c r="CR29" s="4" t="s">
        <v>262</v>
      </c>
      <c r="DB29" s="4">
        <v>0</v>
      </c>
      <c r="DC29" s="4" t="str">
        <v/>
      </c>
      <c r="DD29" s="4" t="str">
        <v/>
      </c>
      <c r="DG29" s="4">
        <v>2</v>
      </c>
      <c r="DH29" s="4" t="str">
        <v>T11</v>
      </c>
      <c r="DI29" s="4">
        <v>0</v>
      </c>
      <c r="DK29" s="4" t="str">
        <v>Q8</v>
      </c>
      <c r="DL29" s="4">
        <v>5</v>
      </c>
      <c r="DM29" s="4">
        <v>0</v>
      </c>
      <c r="DO29" s="4" t="str">
        <v>Q8</v>
      </c>
    </row>
    <row r="30" spans="2:130" ht="23.25">
      <c r="B30" s="6"/>
      <c r="C30" s="6"/>
      <c r="D30" s="6"/>
      <c r="E30" s="6"/>
      <c r="F30" s="7" t="s">
        <v>263</v>
      </c>
      <c r="G30" s="8" t="s">
        <v>264</v>
      </c>
      <c r="H30" s="6"/>
      <c r="I30" s="6"/>
      <c r="J30" s="6"/>
      <c r="K30" s="6"/>
      <c r="L30" s="6"/>
      <c r="M30" s="6"/>
      <c r="N30" s="6"/>
      <c r="O30" s="6"/>
      <c r="P30" s="6"/>
      <c r="Q30" s="7" t="s">
        <v>265</v>
      </c>
      <c r="R30" s="8" t="s">
        <v>266</v>
      </c>
      <c r="S30" s="18" t="s">
        <v>267</v>
      </c>
      <c r="T30" s="6"/>
      <c r="U30" s="6"/>
      <c r="V30" s="6"/>
      <c r="W30" s="6"/>
      <c r="Y30" s="6"/>
      <c r="Z30" s="6"/>
      <c r="AA30" s="6"/>
      <c r="AB30" s="7" t="s">
        <v>265</v>
      </c>
      <c r="AC30" s="8" t="s">
        <v>268</v>
      </c>
      <c r="AD30" s="18" t="s">
        <v>269</v>
      </c>
      <c r="AE30" s="6"/>
      <c r="AF30" s="6"/>
      <c r="AG30" s="6"/>
      <c r="CH30" s="4" cm="1">
        <f t="array" ref="CH30:CP38">--((_xlfn.ANCHORARRAY(AU16)-_xlfn.ANCHORARRAY(AT17)=AC8-AC7)+(_xlfn.ANCHORARRAY(AU16)+_xlfn.ANCHORARRAY(AT17)=AC7+AC8)&gt;0)</f>
        <v>1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R30" s="4" cm="1">
        <f t="array" ref="CR30:CZ38">IF(_xlfn.ANCHORARRAY(CR43),_xlfn.ANCHORARRAY(BQ17),"")</f>
        <v>0</v>
      </c>
      <c r="CS30" s="4" t="str">
        <v/>
      </c>
      <c r="CT30" s="4" t="str">
        <v/>
      </c>
      <c r="CU30" s="4" t="str">
        <v/>
      </c>
      <c r="CV30" s="4" t="str">
        <v/>
      </c>
      <c r="CW30" s="4" t="str">
        <v/>
      </c>
      <c r="CX30" s="4" t="str">
        <v/>
      </c>
      <c r="CY30" s="4" t="str">
        <v/>
      </c>
      <c r="CZ30" s="4">
        <v>0</v>
      </c>
      <c r="DB30" s="4">
        <v>0</v>
      </c>
      <c r="DC30" s="4" t="str">
        <v/>
      </c>
      <c r="DD30" s="4" t="str">
        <v/>
      </c>
      <c r="DG30" s="4">
        <v>2</v>
      </c>
      <c r="DH30" s="4" t="str">
        <v>V11</v>
      </c>
      <c r="DI30" s="4">
        <v>0</v>
      </c>
      <c r="DK30" s="4" t="str">
        <v>V8</v>
      </c>
      <c r="DL30" s="4">
        <v>5</v>
      </c>
      <c r="DM30" s="4">
        <v>0</v>
      </c>
      <c r="DO30" s="4" t="str">
        <v>V8</v>
      </c>
      <c r="DX30" s="19" t="s">
        <v>276</v>
      </c>
      <c r="DZ30" s="4" t="e" cm="1">
        <f t="array" aca="1" ref="DZ30" ca="1">Lz_Chess(N5:V13, AC6, CR14, CS14, CT14, CU14, CV14)</f>
        <v>#NAME?</v>
      </c>
    </row>
    <row r="31" spans="2:130">
      <c r="B31" s="6"/>
      <c r="C31" s="6"/>
      <c r="D31" s="9"/>
      <c r="E31" s="6"/>
      <c r="F31" s="9"/>
      <c r="G31" s="6"/>
      <c r="H31" s="9"/>
      <c r="I31" s="6"/>
      <c r="J31" s="9"/>
      <c r="K31" s="6"/>
      <c r="L31" s="6"/>
      <c r="M31" s="6"/>
      <c r="N31" s="6"/>
      <c r="O31" s="9"/>
      <c r="P31" s="6"/>
      <c r="Q31" s="9"/>
      <c r="R31" s="6"/>
      <c r="S31" s="9"/>
      <c r="T31" s="6"/>
      <c r="U31" s="9"/>
      <c r="V31" s="6"/>
      <c r="W31" s="6"/>
      <c r="Y31" s="6"/>
      <c r="Z31" s="9"/>
      <c r="AA31" s="6"/>
      <c r="AB31" s="9"/>
      <c r="AC31" s="6"/>
      <c r="AD31" s="9"/>
      <c r="AE31" s="6"/>
      <c r="AF31" s="9"/>
      <c r="AG31" s="6"/>
      <c r="CH31" s="4">
        <v>0</v>
      </c>
      <c r="CI31" s="4">
        <v>1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R31" s="4" t="str">
        <v/>
      </c>
      <c r="CS31" s="4">
        <v>0</v>
      </c>
      <c r="CT31" s="4" t="str">
        <v/>
      </c>
      <c r="CU31" s="4" t="str">
        <v/>
      </c>
      <c r="CV31" s="4" t="str">
        <v/>
      </c>
      <c r="CW31" s="4" t="str">
        <v/>
      </c>
      <c r="CX31" s="4" t="str">
        <v/>
      </c>
      <c r="CY31" s="4" t="str">
        <v/>
      </c>
      <c r="CZ31" s="4">
        <v>0</v>
      </c>
      <c r="DB31" s="4">
        <v>0</v>
      </c>
      <c r="DC31" s="4" t="str">
        <v/>
      </c>
      <c r="DD31" s="4" t="str">
        <v/>
      </c>
      <c r="DG31" s="4">
        <v>1</v>
      </c>
      <c r="DH31" s="4" t="str">
        <v>U12</v>
      </c>
      <c r="DI31" s="4">
        <v>0</v>
      </c>
      <c r="DK31" s="4" t="str">
        <v>Q13</v>
      </c>
      <c r="DL31" s="4">
        <v>5</v>
      </c>
      <c r="DM31" s="4">
        <v>0</v>
      </c>
      <c r="DO31" s="4" t="str">
        <v>Q13</v>
      </c>
    </row>
    <row r="32" spans="2:130">
      <c r="B32" s="6"/>
      <c r="C32" s="9"/>
      <c r="D32" s="6"/>
      <c r="E32" s="9"/>
      <c r="F32" s="6"/>
      <c r="G32" s="9"/>
      <c r="H32" s="6"/>
      <c r="I32" s="9"/>
      <c r="J32" s="6"/>
      <c r="K32" s="9"/>
      <c r="L32" s="6"/>
      <c r="M32" s="6"/>
      <c r="N32" s="9"/>
      <c r="O32" s="6"/>
      <c r="P32" s="9"/>
      <c r="Q32" s="6"/>
      <c r="R32" s="9"/>
      <c r="S32" s="6"/>
      <c r="T32" s="9"/>
      <c r="U32" s="6"/>
      <c r="V32" s="9"/>
      <c r="W32" s="6"/>
      <c r="Y32" s="9"/>
      <c r="Z32" s="6"/>
      <c r="AA32" s="9"/>
      <c r="AB32" s="6"/>
      <c r="AC32" s="9"/>
      <c r="AD32" s="6"/>
      <c r="AE32" s="9"/>
      <c r="AF32" s="6"/>
      <c r="AG32" s="9"/>
      <c r="CH32" s="4">
        <v>0</v>
      </c>
      <c r="CI32" s="4">
        <v>0</v>
      </c>
      <c r="CJ32" s="4">
        <v>1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R32" s="4" t="str">
        <v/>
      </c>
      <c r="CS32" s="4" t="str">
        <v/>
      </c>
      <c r="CT32" s="4">
        <v>0</v>
      </c>
      <c r="CU32" s="4" t="str">
        <v/>
      </c>
      <c r="CV32" s="4" t="str">
        <v/>
      </c>
      <c r="CW32" s="4" t="str">
        <v/>
      </c>
      <c r="CX32" s="4" t="str">
        <v/>
      </c>
      <c r="CY32" s="4" t="str">
        <v/>
      </c>
      <c r="CZ32" s="4">
        <v>0</v>
      </c>
      <c r="DB32" s="4">
        <v>0</v>
      </c>
      <c r="DC32" s="4" t="str">
        <v/>
      </c>
      <c r="DD32" s="4" t="str">
        <v/>
      </c>
      <c r="DG32" s="4">
        <v>1</v>
      </c>
      <c r="DH32" s="4" t="str">
        <v>V12</v>
      </c>
      <c r="DI32" s="4">
        <v>0</v>
      </c>
      <c r="DK32" s="4" t="str">
        <v>P7</v>
      </c>
      <c r="DL32" s="4">
        <v>6</v>
      </c>
      <c r="DM32" s="4">
        <v>0</v>
      </c>
      <c r="DO32" s="4" t="str">
        <v>P7</v>
      </c>
    </row>
    <row r="33" spans="2:119">
      <c r="B33" s="6"/>
      <c r="C33" s="6"/>
      <c r="D33" s="9"/>
      <c r="E33" s="6"/>
      <c r="F33" s="9"/>
      <c r="G33" s="6"/>
      <c r="H33" s="13"/>
      <c r="I33" s="6"/>
      <c r="J33" s="13"/>
      <c r="K33" s="6"/>
      <c r="L33" s="6"/>
      <c r="M33" s="6"/>
      <c r="N33" s="6"/>
      <c r="O33" s="9"/>
      <c r="P33" s="6"/>
      <c r="Q33" s="9"/>
      <c r="R33" s="6"/>
      <c r="S33" s="9"/>
      <c r="T33" s="6"/>
      <c r="U33" s="9"/>
      <c r="V33" s="6"/>
      <c r="W33" s="6"/>
      <c r="Y33" s="6"/>
      <c r="Z33" s="9"/>
      <c r="AA33" s="6"/>
      <c r="AB33" s="9"/>
      <c r="AC33" s="6"/>
      <c r="AD33" s="9"/>
      <c r="AE33" s="6"/>
      <c r="AF33" s="9"/>
      <c r="AG33" s="6"/>
      <c r="CH33" s="4">
        <v>0</v>
      </c>
      <c r="CI33" s="4">
        <v>0</v>
      </c>
      <c r="CJ33" s="4">
        <v>0</v>
      </c>
      <c r="CK33" s="4">
        <v>1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R33" s="4" t="str">
        <v/>
      </c>
      <c r="CS33" s="4" t="str">
        <v/>
      </c>
      <c r="CT33" s="4" t="str">
        <v/>
      </c>
      <c r="CU33" s="4">
        <v>0</v>
      </c>
      <c r="CV33" s="4" t="str">
        <v/>
      </c>
      <c r="CW33" s="4" t="str">
        <v/>
      </c>
      <c r="CX33" s="4" t="str">
        <v/>
      </c>
      <c r="CY33" s="4" t="str">
        <v/>
      </c>
      <c r="CZ33" s="4">
        <v>0</v>
      </c>
      <c r="DB33" s="4">
        <v>0</v>
      </c>
      <c r="DC33" s="4" t="str">
        <v/>
      </c>
      <c r="DD33" s="4" t="str">
        <v/>
      </c>
      <c r="DG33" s="4">
        <v>8</v>
      </c>
      <c r="DH33" s="4" t="str">
        <v>N13</v>
      </c>
      <c r="DI33" s="4">
        <v>0</v>
      </c>
      <c r="DK33" s="4" t="str">
        <v>V7</v>
      </c>
      <c r="DL33" s="4">
        <v>6</v>
      </c>
      <c r="DM33" s="4">
        <v>0</v>
      </c>
      <c r="DO33" s="4" t="str">
        <v>V7</v>
      </c>
    </row>
    <row r="34" spans="2:119">
      <c r="B34" s="6"/>
      <c r="C34" s="9"/>
      <c r="D34" s="6"/>
      <c r="E34" s="9"/>
      <c r="F34" s="6"/>
      <c r="G34" s="13"/>
      <c r="H34" s="6"/>
      <c r="I34" s="9"/>
      <c r="J34" s="6"/>
      <c r="K34" s="13"/>
      <c r="L34" s="6"/>
      <c r="M34" s="6"/>
      <c r="N34" s="9"/>
      <c r="O34" s="6"/>
      <c r="P34" s="9"/>
      <c r="Q34" s="6"/>
      <c r="R34" s="9"/>
      <c r="S34" s="6"/>
      <c r="T34" s="9"/>
      <c r="U34" s="6"/>
      <c r="V34" s="9"/>
      <c r="W34" s="6"/>
      <c r="Y34" s="9"/>
      <c r="Z34" s="6"/>
      <c r="AA34" s="9"/>
      <c r="AB34" s="6"/>
      <c r="AC34" s="9"/>
      <c r="AD34" s="6"/>
      <c r="AE34" s="9"/>
      <c r="AF34" s="6"/>
      <c r="AG34" s="9"/>
      <c r="CH34" s="4">
        <v>0</v>
      </c>
      <c r="CI34" s="4">
        <v>0</v>
      </c>
      <c r="CJ34" s="4">
        <v>0</v>
      </c>
      <c r="CK34" s="4">
        <v>0</v>
      </c>
      <c r="CL34" s="4">
        <v>1</v>
      </c>
      <c r="CM34" s="4">
        <v>0</v>
      </c>
      <c r="CN34" s="4">
        <v>0</v>
      </c>
      <c r="CO34" s="4">
        <v>0</v>
      </c>
      <c r="CP34" s="4">
        <v>0</v>
      </c>
      <c r="CR34" s="4" t="str">
        <v/>
      </c>
      <c r="CS34" s="4" t="str">
        <v/>
      </c>
      <c r="CT34" s="4" t="str">
        <v/>
      </c>
      <c r="CU34" s="4" t="str">
        <v/>
      </c>
      <c r="CV34" s="4">
        <v>0</v>
      </c>
      <c r="CW34" s="4" t="str">
        <v/>
      </c>
      <c r="CX34" s="4" t="str">
        <v/>
      </c>
      <c r="CY34" s="4" t="str">
        <v/>
      </c>
      <c r="CZ34" s="4">
        <v>0</v>
      </c>
      <c r="DB34" s="4">
        <v>7</v>
      </c>
      <c r="DC34" s="4" t="str">
        <v>V6</v>
      </c>
      <c r="DD34" s="4">
        <v>0</v>
      </c>
      <c r="DG34" s="4">
        <v>7</v>
      </c>
      <c r="DH34" s="4" t="str">
        <v>O13</v>
      </c>
      <c r="DI34" s="4">
        <v>0</v>
      </c>
      <c r="DK34" s="4" t="str">
        <v>P13</v>
      </c>
      <c r="DL34" s="4">
        <v>6</v>
      </c>
      <c r="DM34" s="4">
        <v>0</v>
      </c>
      <c r="DO34" s="4" t="str">
        <v>P13</v>
      </c>
    </row>
    <row r="35" spans="2:119">
      <c r="B35" s="6"/>
      <c r="C35" s="6"/>
      <c r="D35" s="9"/>
      <c r="E35" s="6"/>
      <c r="F35" s="9"/>
      <c r="G35" s="6"/>
      <c r="H35" s="9"/>
      <c r="I35" s="6" t="s">
        <v>264</v>
      </c>
      <c r="J35" s="9"/>
      <c r="K35" s="6"/>
      <c r="L35" s="6"/>
      <c r="M35" s="6"/>
      <c r="N35" s="6"/>
      <c r="O35" s="9"/>
      <c r="P35" s="6"/>
      <c r="Q35" s="9"/>
      <c r="R35" s="6"/>
      <c r="S35" s="9"/>
      <c r="T35" s="6"/>
      <c r="U35" s="9"/>
      <c r="V35" s="6"/>
      <c r="W35" s="6"/>
      <c r="Y35" s="6"/>
      <c r="Z35" s="9"/>
      <c r="AA35" s="6"/>
      <c r="AB35" s="9"/>
      <c r="AC35" s="6"/>
      <c r="AD35" s="9"/>
      <c r="AE35" s="6"/>
      <c r="AF35" s="9"/>
      <c r="AG35" s="6"/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1</v>
      </c>
      <c r="CN35" s="4">
        <v>0</v>
      </c>
      <c r="CO35" s="4">
        <v>0</v>
      </c>
      <c r="CP35" s="4">
        <v>0</v>
      </c>
      <c r="CR35" s="4" t="str">
        <v/>
      </c>
      <c r="CS35" s="4" t="str">
        <v/>
      </c>
      <c r="CT35" s="4" t="str">
        <v/>
      </c>
      <c r="CU35" s="4" t="str">
        <v/>
      </c>
      <c r="CV35" s="4" t="str">
        <v/>
      </c>
      <c r="CW35" s="4">
        <v>0</v>
      </c>
      <c r="CX35" s="4" t="str">
        <v/>
      </c>
      <c r="CY35" s="4" t="str">
        <v/>
      </c>
      <c r="CZ35" s="4">
        <v>0</v>
      </c>
      <c r="DB35" s="4">
        <v>0</v>
      </c>
      <c r="DC35" s="4" t="str">
        <v/>
      </c>
      <c r="DD35" s="4" t="str">
        <v/>
      </c>
      <c r="DG35" s="4">
        <v>6</v>
      </c>
      <c r="DH35" s="4" t="str">
        <v>P13</v>
      </c>
      <c r="DI35" s="4">
        <v>0</v>
      </c>
      <c r="DK35" s="4" t="str">
        <v>O6</v>
      </c>
      <c r="DL35" s="4">
        <v>7</v>
      </c>
      <c r="DM35" s="4">
        <v>0</v>
      </c>
      <c r="DO35" s="4" t="str">
        <v>O6</v>
      </c>
    </row>
    <row r="36" spans="2:119">
      <c r="B36" s="6"/>
      <c r="C36" s="9"/>
      <c r="D36" s="6"/>
      <c r="E36" s="9"/>
      <c r="F36" s="6"/>
      <c r="G36" s="13"/>
      <c r="H36" s="6"/>
      <c r="I36" s="9"/>
      <c r="J36" s="6"/>
      <c r="K36" s="13"/>
      <c r="L36" s="6"/>
      <c r="M36" s="6"/>
      <c r="N36" s="9"/>
      <c r="O36" s="6"/>
      <c r="P36" s="9"/>
      <c r="Q36" s="6"/>
      <c r="R36" s="9"/>
      <c r="S36" s="6"/>
      <c r="T36" s="9"/>
      <c r="U36" s="6"/>
      <c r="V36" s="9"/>
      <c r="W36" s="6"/>
      <c r="Y36" s="9"/>
      <c r="Z36" s="6"/>
      <c r="AA36" s="9"/>
      <c r="AB36" s="6"/>
      <c r="AC36" s="9"/>
      <c r="AD36" s="6"/>
      <c r="AE36" s="9"/>
      <c r="AF36" s="6"/>
      <c r="AG36" s="9"/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1</v>
      </c>
      <c r="CO36" s="4">
        <v>0</v>
      </c>
      <c r="CP36" s="4">
        <v>0</v>
      </c>
      <c r="CR36" s="4" t="str">
        <v/>
      </c>
      <c r="CS36" s="4" t="str">
        <v/>
      </c>
      <c r="CT36" s="4" t="str">
        <v/>
      </c>
      <c r="CU36" s="4" t="str">
        <v/>
      </c>
      <c r="CV36" s="4" t="str">
        <v/>
      </c>
      <c r="CW36" s="4" t="str">
        <v/>
      </c>
      <c r="CX36" s="4">
        <v>0</v>
      </c>
      <c r="CY36" s="4" t="str">
        <v/>
      </c>
      <c r="CZ36" s="4">
        <v>0</v>
      </c>
      <c r="DB36" s="4">
        <v>0</v>
      </c>
      <c r="DC36" s="4" t="str">
        <v/>
      </c>
      <c r="DD36" s="4" t="str">
        <v/>
      </c>
      <c r="DG36" s="4">
        <v>5</v>
      </c>
      <c r="DH36" s="4" t="str">
        <v>Q13</v>
      </c>
      <c r="DI36" s="4">
        <v>0</v>
      </c>
      <c r="DK36" s="4" t="str">
        <v>V6</v>
      </c>
      <c r="DL36" s="4">
        <v>7</v>
      </c>
      <c r="DM36" s="4">
        <v>0</v>
      </c>
      <c r="DO36" s="4" t="str">
        <v>V6</v>
      </c>
    </row>
    <row r="37" spans="2:119">
      <c r="B37" s="6"/>
      <c r="C37" s="6"/>
      <c r="D37" s="9"/>
      <c r="E37" s="6"/>
      <c r="F37" s="9"/>
      <c r="G37" s="6"/>
      <c r="H37" s="13"/>
      <c r="I37" s="6"/>
      <c r="J37" s="13"/>
      <c r="K37" s="6"/>
      <c r="L37" s="6"/>
      <c r="M37" s="6"/>
      <c r="N37" s="6"/>
      <c r="O37" s="9"/>
      <c r="P37" s="6"/>
      <c r="Q37" s="13"/>
      <c r="R37" s="6"/>
      <c r="S37" s="13"/>
      <c r="T37" s="6"/>
      <c r="U37" s="9"/>
      <c r="V37" s="6"/>
      <c r="W37" s="6"/>
      <c r="Y37" s="6"/>
      <c r="Z37" s="9"/>
      <c r="AA37" s="6"/>
      <c r="AB37" s="9"/>
      <c r="AC37" s="6"/>
      <c r="AD37" s="9"/>
      <c r="AE37" s="6"/>
      <c r="AF37" s="9"/>
      <c r="AG37" s="6"/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1</v>
      </c>
      <c r="CP37" s="4">
        <v>0</v>
      </c>
      <c r="CR37" s="4" t="str">
        <v/>
      </c>
      <c r="CS37" s="4" t="str">
        <v/>
      </c>
      <c r="CT37" s="4" t="str">
        <v/>
      </c>
      <c r="CU37" s="4" t="str">
        <v/>
      </c>
      <c r="CV37" s="4" t="str">
        <v/>
      </c>
      <c r="CW37" s="4" t="str">
        <v/>
      </c>
      <c r="CX37" s="4" t="str">
        <v/>
      </c>
      <c r="CY37" s="4">
        <v>0</v>
      </c>
      <c r="CZ37" s="4">
        <v>0</v>
      </c>
      <c r="DB37" s="4">
        <v>6</v>
      </c>
      <c r="DC37" s="4" t="str">
        <v>P7</v>
      </c>
      <c r="DD37" s="4">
        <v>0</v>
      </c>
      <c r="DG37" s="4">
        <v>4</v>
      </c>
      <c r="DH37" s="4" t="str">
        <v>R13</v>
      </c>
      <c r="DI37" s="4">
        <v>0</v>
      </c>
      <c r="DK37" s="4" t="str">
        <v>O13</v>
      </c>
      <c r="DL37" s="4">
        <v>7</v>
      </c>
      <c r="DM37" s="4">
        <v>0</v>
      </c>
      <c r="DO37" s="4" t="str">
        <v>O13</v>
      </c>
    </row>
    <row r="38" spans="2:119">
      <c r="B38" s="6"/>
      <c r="C38" s="9"/>
      <c r="D38" s="6"/>
      <c r="E38" s="9"/>
      <c r="F38" s="6"/>
      <c r="G38" s="9"/>
      <c r="H38" s="6"/>
      <c r="I38" s="9"/>
      <c r="J38" s="6"/>
      <c r="K38" s="9"/>
      <c r="L38" s="6"/>
      <c r="M38" s="6"/>
      <c r="N38" s="9"/>
      <c r="O38" s="6"/>
      <c r="P38" s="9"/>
      <c r="Q38" s="6"/>
      <c r="R38" s="9" t="s">
        <v>266</v>
      </c>
      <c r="S38" s="6"/>
      <c r="T38" s="9"/>
      <c r="U38" s="6"/>
      <c r="V38" s="9"/>
      <c r="W38" s="6"/>
      <c r="Y38" s="9"/>
      <c r="Z38" s="6"/>
      <c r="AA38" s="9"/>
      <c r="AB38" s="6"/>
      <c r="AC38" s="9" t="s">
        <v>268</v>
      </c>
      <c r="AD38" s="6"/>
      <c r="AE38" s="9"/>
      <c r="AF38" s="6"/>
      <c r="AG38" s="9"/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1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B38" s="4">
        <v>0</v>
      </c>
      <c r="DC38" s="4" t="str">
        <v/>
      </c>
      <c r="DD38" s="4" t="str">
        <v/>
      </c>
      <c r="DG38" s="4">
        <v>3</v>
      </c>
      <c r="DH38" s="4" t="str">
        <v>S13</v>
      </c>
      <c r="DI38" s="4">
        <v>0</v>
      </c>
      <c r="DK38" s="4" t="str">
        <v>N5</v>
      </c>
      <c r="DL38" s="4">
        <v>8</v>
      </c>
      <c r="DM38" s="4">
        <v>0</v>
      </c>
      <c r="DO38" s="4" t="str">
        <v>N5</v>
      </c>
    </row>
    <row r="39" spans="2:119">
      <c r="B39" s="6"/>
      <c r="C39" s="6"/>
      <c r="D39" s="9"/>
      <c r="E39" s="6"/>
      <c r="F39" s="9"/>
      <c r="G39" s="6"/>
      <c r="H39" s="9"/>
      <c r="I39" s="6"/>
      <c r="J39" s="9"/>
      <c r="K39" s="6"/>
      <c r="L39" s="6"/>
      <c r="M39" s="6"/>
      <c r="N39" s="6"/>
      <c r="O39" s="9"/>
      <c r="P39" s="6"/>
      <c r="Q39" s="9"/>
      <c r="R39" s="6"/>
      <c r="S39" s="9"/>
      <c r="T39" s="6"/>
      <c r="U39" s="9"/>
      <c r="V39" s="6"/>
      <c r="W39" s="6"/>
      <c r="Y39" s="6"/>
      <c r="Z39" s="9"/>
      <c r="AA39" s="6"/>
      <c r="AB39" s="13"/>
      <c r="AC39" s="6"/>
      <c r="AD39" s="13"/>
      <c r="AE39" s="6"/>
      <c r="AF39" s="9"/>
      <c r="AG39" s="6"/>
      <c r="DB39" s="4">
        <v>0</v>
      </c>
      <c r="DC39" s="4" t="str">
        <v/>
      </c>
      <c r="DD39" s="4" t="str">
        <v/>
      </c>
      <c r="DG39" s="4">
        <v>2</v>
      </c>
      <c r="DH39" s="4" t="str">
        <v>T13</v>
      </c>
      <c r="DI39" s="4">
        <v>0</v>
      </c>
      <c r="DK39" s="4" t="str">
        <v>V5</v>
      </c>
      <c r="DL39" s="4">
        <v>8</v>
      </c>
      <c r="DM39" s="4">
        <v>0</v>
      </c>
      <c r="DO39" s="4" t="str">
        <v>V5</v>
      </c>
    </row>
    <row r="40" spans="2:119">
      <c r="B40" s="6"/>
      <c r="C40" s="15"/>
      <c r="D40" s="15"/>
      <c r="E40" s="15"/>
      <c r="F40" s="15"/>
      <c r="G40" s="15"/>
      <c r="H40" s="15"/>
      <c r="I40" s="15"/>
      <c r="J40" s="15"/>
      <c r="K40" s="6"/>
      <c r="L40" s="6"/>
      <c r="M40" s="6"/>
      <c r="N40" s="15"/>
      <c r="O40" s="15"/>
      <c r="P40" s="15"/>
      <c r="Q40" s="15"/>
      <c r="R40" s="15"/>
      <c r="S40" s="15"/>
      <c r="T40" s="15"/>
      <c r="U40" s="15"/>
      <c r="V40" s="6"/>
      <c r="W40" s="6"/>
      <c r="Y40" s="15"/>
      <c r="Z40" s="15"/>
      <c r="AA40" s="15"/>
      <c r="AB40" s="15"/>
      <c r="AC40" s="15"/>
      <c r="AD40" s="15"/>
      <c r="AE40" s="15"/>
      <c r="AF40" s="15"/>
      <c r="AG40" s="6"/>
      <c r="DB40" s="4">
        <v>0</v>
      </c>
      <c r="DC40" s="4" t="str">
        <v/>
      </c>
      <c r="DD40" s="4" t="str">
        <v/>
      </c>
      <c r="DG40" s="4">
        <v>1</v>
      </c>
      <c r="DH40" s="4" t="str">
        <v>U13</v>
      </c>
      <c r="DI40" s="4">
        <v>0</v>
      </c>
      <c r="DK40" s="4" t="str">
        <v>N13</v>
      </c>
      <c r="DL40" s="4">
        <v>8</v>
      </c>
      <c r="DM40" s="4">
        <v>0</v>
      </c>
      <c r="DO40" s="4" t="str">
        <v>N13</v>
      </c>
    </row>
    <row r="41" spans="2:119" ht="72" customHeight="1">
      <c r="B41" s="6"/>
      <c r="C41" s="57" t="s">
        <v>270</v>
      </c>
      <c r="D41" s="57"/>
      <c r="E41" s="57"/>
      <c r="F41" s="57"/>
      <c r="G41" s="57"/>
      <c r="H41" s="57"/>
      <c r="I41" s="57"/>
      <c r="J41" s="57"/>
      <c r="K41" s="57"/>
      <c r="L41" s="6"/>
      <c r="M41" s="6"/>
      <c r="N41" s="57" t="s">
        <v>271</v>
      </c>
      <c r="O41" s="57"/>
      <c r="P41" s="57"/>
      <c r="Q41" s="57"/>
      <c r="R41" s="57"/>
      <c r="S41" s="57"/>
      <c r="T41" s="57"/>
      <c r="U41" s="57"/>
      <c r="V41" s="57"/>
      <c r="W41" s="6"/>
      <c r="Y41" s="57" t="s">
        <v>272</v>
      </c>
      <c r="Z41" s="57"/>
      <c r="AA41" s="57"/>
      <c r="AB41" s="57"/>
      <c r="AC41" s="57"/>
      <c r="AD41" s="57"/>
      <c r="AE41" s="57"/>
      <c r="AF41" s="57"/>
      <c r="AG41" s="57"/>
      <c r="DB41" s="4">
        <v>0</v>
      </c>
      <c r="DC41" s="4" t="str">
        <v/>
      </c>
      <c r="DD41" s="4" t="str">
        <v/>
      </c>
    </row>
    <row r="42" spans="2:119">
      <c r="CH42" s="4" t="s">
        <v>233</v>
      </c>
      <c r="CR42" s="4" t="s">
        <v>273</v>
      </c>
      <c r="DB42" s="4">
        <v>0</v>
      </c>
      <c r="DC42" s="4" t="str">
        <v/>
      </c>
      <c r="DD42" s="4" t="str">
        <v/>
      </c>
    </row>
    <row r="43" spans="2:119">
      <c r="CH43" s="4" cm="1">
        <f t="array" ref="CH43:CP51">--(_xlfn.ANCHORARRAY(CH30)+_xlfn.ANCHORARRAY(CH17)&gt;0)</f>
        <v>1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1</v>
      </c>
      <c r="CR43" s="4" cm="1">
        <f t="array" ref="CR43:CZ51">_xlfn.SWITCH(CR14,"♔",_xlfn.ANCHORARRAY(CH2),"♚",_xlfn.ANCHORARRAY(CH2),"♕",_xlfn.ANCHORARRAY(CH43),"♛",_xlfn.ANCHORARRAY(CH43),"♖",_xlfn.ANCHORARRAY(CH17),"♜",_xlfn.ANCHORARRAY(CH17),"♗",_xlfn.ANCHORARRAY(CH30),"♝",_xlfn.ANCHORARRAY(CH30),"♘",_xlfn.ANCHORARRAY(CH54),"♞",_xlfn.ANCHORARRAY(CH54),"♙",_xlfn.ANCHORARRAY(CH65),"♟",_xlfn.ANCHORARRAY(CH76))</f>
        <v>1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1</v>
      </c>
      <c r="DB43" s="4">
        <v>6</v>
      </c>
      <c r="DC43" s="4" t="str">
        <v>V7</v>
      </c>
      <c r="DD43" s="4">
        <v>0</v>
      </c>
    </row>
    <row r="44" spans="2:119">
      <c r="H44" s="22"/>
      <c r="I44" s="22"/>
      <c r="J44" s="22"/>
      <c r="K44" s="22"/>
      <c r="CH44" s="4">
        <v>0</v>
      </c>
      <c r="CI44" s="4">
        <v>1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1</v>
      </c>
      <c r="CR44" s="4">
        <v>0</v>
      </c>
      <c r="CS44" s="4">
        <v>1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1</v>
      </c>
      <c r="DB44" s="4">
        <v>0</v>
      </c>
      <c r="DC44" s="4" t="str">
        <v/>
      </c>
      <c r="DD44" s="4" t="str">
        <v/>
      </c>
    </row>
    <row r="45" spans="2:119">
      <c r="H45" s="22"/>
      <c r="I45" s="22"/>
      <c r="J45" s="22"/>
      <c r="K45" s="22"/>
      <c r="CH45" s="4">
        <v>0</v>
      </c>
      <c r="CI45" s="4">
        <v>0</v>
      </c>
      <c r="CJ45" s="4">
        <v>1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1</v>
      </c>
      <c r="CR45" s="4">
        <v>0</v>
      </c>
      <c r="CS45" s="4">
        <v>0</v>
      </c>
      <c r="CT45" s="4">
        <v>1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1</v>
      </c>
      <c r="DB45" s="4">
        <v>0</v>
      </c>
      <c r="DC45" s="4" t="str">
        <v/>
      </c>
      <c r="DD45" s="4" t="str">
        <v/>
      </c>
    </row>
    <row r="46" spans="2:119">
      <c r="H46" s="22"/>
      <c r="I46" s="22"/>
      <c r="J46" s="22"/>
      <c r="K46" s="22"/>
      <c r="CH46" s="4">
        <v>0</v>
      </c>
      <c r="CI46" s="4">
        <v>0</v>
      </c>
      <c r="CJ46" s="4">
        <v>0</v>
      </c>
      <c r="CK46" s="4">
        <v>1</v>
      </c>
      <c r="CL46" s="4">
        <v>0</v>
      </c>
      <c r="CM46" s="4">
        <v>0</v>
      </c>
      <c r="CN46" s="4">
        <v>0</v>
      </c>
      <c r="CO46" s="4">
        <v>0</v>
      </c>
      <c r="CP46" s="4">
        <v>1</v>
      </c>
      <c r="CR46" s="4">
        <v>0</v>
      </c>
      <c r="CS46" s="4">
        <v>0</v>
      </c>
      <c r="CT46" s="4">
        <v>0</v>
      </c>
      <c r="CU46" s="4">
        <v>1</v>
      </c>
      <c r="CV46" s="4">
        <v>0</v>
      </c>
      <c r="CW46" s="4">
        <v>0</v>
      </c>
      <c r="CX46" s="4">
        <v>0</v>
      </c>
      <c r="CY46" s="4">
        <v>0</v>
      </c>
      <c r="CZ46" s="4">
        <v>1</v>
      </c>
      <c r="DB46" s="4">
        <v>0</v>
      </c>
      <c r="DC46" s="4" t="str">
        <v/>
      </c>
      <c r="DD46" s="4" t="str">
        <v/>
      </c>
    </row>
    <row r="47" spans="2:119">
      <c r="H47" s="22"/>
      <c r="I47" s="22"/>
      <c r="J47" s="22"/>
      <c r="K47" s="22"/>
      <c r="CH47" s="4">
        <v>0</v>
      </c>
      <c r="CI47" s="4">
        <v>0</v>
      </c>
      <c r="CJ47" s="4">
        <v>0</v>
      </c>
      <c r="CK47" s="4">
        <v>0</v>
      </c>
      <c r="CL47" s="4">
        <v>1</v>
      </c>
      <c r="CM47" s="4">
        <v>0</v>
      </c>
      <c r="CN47" s="4">
        <v>0</v>
      </c>
      <c r="CO47" s="4">
        <v>0</v>
      </c>
      <c r="CP47" s="4">
        <v>1</v>
      </c>
      <c r="CR47" s="4">
        <v>0</v>
      </c>
      <c r="CS47" s="4">
        <v>0</v>
      </c>
      <c r="CT47" s="4">
        <v>0</v>
      </c>
      <c r="CU47" s="4">
        <v>0</v>
      </c>
      <c r="CV47" s="4">
        <v>1</v>
      </c>
      <c r="CW47" s="4">
        <v>0</v>
      </c>
      <c r="CX47" s="4">
        <v>0</v>
      </c>
      <c r="CY47" s="4">
        <v>0</v>
      </c>
      <c r="CZ47" s="4">
        <v>1</v>
      </c>
      <c r="DB47" s="4">
        <v>5</v>
      </c>
      <c r="DC47" s="4" t="str">
        <v>Q8</v>
      </c>
      <c r="DD47" s="4">
        <v>0</v>
      </c>
    </row>
    <row r="48" spans="2:119">
      <c r="H48" s="22"/>
      <c r="I48" s="22"/>
      <c r="J48" s="22"/>
      <c r="K48" s="22"/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1</v>
      </c>
      <c r="CN48" s="4">
        <v>0</v>
      </c>
      <c r="CO48" s="4">
        <v>0</v>
      </c>
      <c r="CP48" s="4">
        <v>1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1</v>
      </c>
      <c r="CX48" s="4">
        <v>0</v>
      </c>
      <c r="CY48" s="4">
        <v>0</v>
      </c>
      <c r="CZ48" s="4">
        <v>1</v>
      </c>
      <c r="DB48" s="4">
        <v>0</v>
      </c>
      <c r="DC48" s="4" t="str">
        <v/>
      </c>
      <c r="DD48" s="4" t="str">
        <v/>
      </c>
    </row>
    <row r="49" spans="8:108">
      <c r="H49" s="22"/>
      <c r="I49" s="22"/>
      <c r="J49" s="22"/>
      <c r="K49" s="22"/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1</v>
      </c>
      <c r="CO49" s="4">
        <v>0</v>
      </c>
      <c r="CP49" s="4">
        <v>1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1</v>
      </c>
      <c r="CY49" s="4">
        <v>0</v>
      </c>
      <c r="CZ49" s="4">
        <v>1</v>
      </c>
      <c r="DB49" s="4">
        <v>0</v>
      </c>
      <c r="DC49" s="4" t="str">
        <v/>
      </c>
      <c r="DD49" s="4" t="str">
        <v/>
      </c>
    </row>
    <row r="50" spans="8:108">
      <c r="H50" s="22"/>
      <c r="I50" s="22"/>
      <c r="J50" s="22"/>
      <c r="K50" s="22"/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1</v>
      </c>
      <c r="CP50" s="4">
        <v>1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1</v>
      </c>
      <c r="CZ50" s="4">
        <v>1</v>
      </c>
      <c r="DB50" s="4">
        <v>0</v>
      </c>
      <c r="DC50" s="4" t="str">
        <v/>
      </c>
      <c r="DD50" s="4" t="str">
        <v/>
      </c>
    </row>
    <row r="51" spans="8:108">
      <c r="H51" s="22"/>
      <c r="I51" s="22"/>
      <c r="J51" s="22"/>
      <c r="K51" s="22"/>
      <c r="CH51" s="4">
        <v>1</v>
      </c>
      <c r="CI51" s="4">
        <v>1</v>
      </c>
      <c r="CJ51" s="4">
        <v>1</v>
      </c>
      <c r="CK51" s="4">
        <v>1</v>
      </c>
      <c r="CL51" s="4">
        <v>1</v>
      </c>
      <c r="CM51" s="4">
        <v>1</v>
      </c>
      <c r="CN51" s="4">
        <v>1</v>
      </c>
      <c r="CO51" s="4">
        <v>1</v>
      </c>
      <c r="CP51" s="4">
        <v>1</v>
      </c>
      <c r="CR51" s="4">
        <v>1</v>
      </c>
      <c r="CS51" s="4">
        <v>1</v>
      </c>
      <c r="CT51" s="4">
        <v>1</v>
      </c>
      <c r="CU51" s="4">
        <v>1</v>
      </c>
      <c r="CV51" s="4">
        <v>1</v>
      </c>
      <c r="CW51" s="4">
        <v>1</v>
      </c>
      <c r="CX51" s="4">
        <v>1</v>
      </c>
      <c r="CY51" s="4">
        <v>1</v>
      </c>
      <c r="CZ51" s="4">
        <v>1</v>
      </c>
      <c r="DB51" s="4">
        <v>0</v>
      </c>
      <c r="DC51" s="4" t="str">
        <v/>
      </c>
      <c r="DD51" s="4" t="str">
        <v/>
      </c>
    </row>
    <row r="52" spans="8:108">
      <c r="H52" s="22"/>
      <c r="I52" s="22"/>
      <c r="J52" s="22"/>
      <c r="K52" s="22"/>
      <c r="DB52" s="4">
        <v>5</v>
      </c>
      <c r="DC52" s="4" t="str">
        <v>V8</v>
      </c>
      <c r="DD52" s="4">
        <v>0</v>
      </c>
    </row>
    <row r="53" spans="8:108">
      <c r="H53" s="22"/>
      <c r="I53" s="22"/>
      <c r="J53" s="22"/>
      <c r="K53" s="22"/>
      <c r="CH53" s="4" t="s">
        <v>263</v>
      </c>
      <c r="DB53" s="4">
        <v>0</v>
      </c>
      <c r="DC53" s="4" t="str">
        <v/>
      </c>
      <c r="DD53" s="4" t="str">
        <v/>
      </c>
    </row>
    <row r="54" spans="8:108">
      <c r="H54" s="22"/>
      <c r="I54" s="22"/>
      <c r="J54" s="22"/>
      <c r="K54" s="22"/>
      <c r="BV54" s="4" cm="1">
        <f t="array" ref="BV54:BV61">_xlfn.VSTACK(AC7-2,AC7-2,AC7+2,AC7+2,AC7-1,AC7-1,AC7+1,AC7+1)</f>
        <v>11</v>
      </c>
      <c r="BX54" s="4" cm="1">
        <f t="array" ref="BX54:BX61">_xlfn.VSTACK(AC8-1,AC8+1,AC8-1,AC8+1,AC8-2,AC8+2,AC8-2,AC8+2)</f>
        <v>21</v>
      </c>
      <c r="BZ54" s="4" t="str" cm="1">
        <f t="array" ref="BZ54:BZ61">ADDRESS(_xlfn.ANCHORARRAY(BV54),_xlfn.ANCHORARRAY(BX54),4)</f>
        <v>U11</v>
      </c>
      <c r="CH54" s="4" cm="1">
        <f t="array" ref="CH54:CP62">--ISNUMBER(_xlfn.XMATCH(_xlfn.ANCHORARRAY($AU$17),_xlfn.ANCHORARRAY(BZ54)))</f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DB54" s="4">
        <v>0</v>
      </c>
      <c r="DC54" s="4" t="str">
        <v/>
      </c>
      <c r="DD54" s="4" t="str">
        <v/>
      </c>
    </row>
    <row r="55" spans="8:108">
      <c r="H55" s="22"/>
      <c r="I55" s="22"/>
      <c r="J55" s="22"/>
      <c r="K55" s="22"/>
      <c r="BV55" s="4">
        <v>11</v>
      </c>
      <c r="BX55" s="4">
        <v>23</v>
      </c>
      <c r="BZ55" s="4" t="str">
        <v>W11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DB55" s="4">
        <v>0</v>
      </c>
      <c r="DC55" s="4" t="str">
        <v/>
      </c>
      <c r="DD55" s="4" t="str">
        <v/>
      </c>
    </row>
    <row r="56" spans="8:108">
      <c r="H56" s="22"/>
      <c r="I56" s="22"/>
      <c r="J56" s="22"/>
      <c r="K56" s="22"/>
      <c r="BV56" s="4">
        <v>15</v>
      </c>
      <c r="BX56" s="4">
        <v>21</v>
      </c>
      <c r="BZ56" s="4" t="str">
        <v>U15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DB56" s="4">
        <v>0</v>
      </c>
      <c r="DC56" s="4" t="str">
        <v/>
      </c>
      <c r="DD56" s="4" t="str">
        <v/>
      </c>
    </row>
    <row r="57" spans="8:108">
      <c r="H57" s="22"/>
      <c r="I57" s="22"/>
      <c r="J57" s="22"/>
      <c r="K57" s="22"/>
      <c r="BV57" s="4">
        <v>15</v>
      </c>
      <c r="BX57" s="4">
        <v>23</v>
      </c>
      <c r="BZ57" s="4" t="str">
        <v>W15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DB57" s="4">
        <v>4</v>
      </c>
      <c r="DC57" s="4" t="str">
        <v>R9</v>
      </c>
      <c r="DD57" s="4">
        <v>0</v>
      </c>
    </row>
    <row r="58" spans="8:108">
      <c r="H58" s="22"/>
      <c r="I58" s="22"/>
      <c r="J58" s="22"/>
      <c r="K58" s="22"/>
      <c r="BV58" s="4">
        <v>12</v>
      </c>
      <c r="BX58" s="4">
        <v>20</v>
      </c>
      <c r="BZ58" s="4" t="str">
        <v>T12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DB58" s="4">
        <v>0</v>
      </c>
      <c r="DC58" s="4" t="str">
        <v/>
      </c>
      <c r="DD58" s="4" t="str">
        <v/>
      </c>
    </row>
    <row r="59" spans="8:108">
      <c r="H59" s="22"/>
      <c r="I59" s="22"/>
      <c r="J59" s="22"/>
      <c r="K59" s="22"/>
      <c r="BV59" s="4">
        <v>12</v>
      </c>
      <c r="BX59" s="4">
        <v>24</v>
      </c>
      <c r="BZ59" s="4" t="str">
        <v>X12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DB59" s="4">
        <v>0</v>
      </c>
      <c r="DC59" s="4" t="str">
        <v/>
      </c>
      <c r="DD59" s="4" t="str">
        <v/>
      </c>
    </row>
    <row r="60" spans="8:108">
      <c r="H60" s="22"/>
      <c r="I60" s="22"/>
      <c r="J60" s="22"/>
      <c r="K60" s="22"/>
      <c r="BV60" s="4">
        <v>14</v>
      </c>
      <c r="BX60" s="4">
        <v>20</v>
      </c>
      <c r="BZ60" s="4" t="str">
        <v>T14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1</v>
      </c>
      <c r="CP60" s="4">
        <v>0</v>
      </c>
      <c r="DB60" s="4">
        <v>0</v>
      </c>
      <c r="DC60" s="4" t="str">
        <v/>
      </c>
      <c r="DD60" s="4" t="str">
        <v/>
      </c>
    </row>
    <row r="61" spans="8:108">
      <c r="H61" s="22"/>
      <c r="I61" s="22"/>
      <c r="J61" s="22"/>
      <c r="K61" s="22"/>
      <c r="BV61" s="4">
        <v>14</v>
      </c>
      <c r="BX61" s="4">
        <v>24</v>
      </c>
      <c r="BZ61" s="4" t="str">
        <v>X14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1</v>
      </c>
      <c r="CO61" s="4">
        <v>0</v>
      </c>
      <c r="CP61" s="4">
        <v>0</v>
      </c>
      <c r="DB61" s="4">
        <v>4</v>
      </c>
      <c r="DC61" s="4" t="str">
        <v>V9</v>
      </c>
      <c r="DD61" s="4">
        <v>0</v>
      </c>
    </row>
    <row r="62" spans="8:108">
      <c r="H62" s="22"/>
      <c r="I62" s="22"/>
      <c r="J62" s="22"/>
      <c r="K62" s="22"/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DB62" s="4">
        <v>0</v>
      </c>
      <c r="DC62" s="4" t="str">
        <v/>
      </c>
      <c r="DD62" s="4" t="str">
        <v/>
      </c>
    </row>
    <row r="63" spans="8:108">
      <c r="H63" s="22"/>
      <c r="I63" s="22"/>
      <c r="J63" s="22"/>
      <c r="K63" s="22"/>
      <c r="DB63" s="4">
        <v>0</v>
      </c>
      <c r="DC63" s="4" t="str">
        <v/>
      </c>
      <c r="DD63" s="4" t="str">
        <v/>
      </c>
    </row>
    <row r="64" spans="8:108">
      <c r="H64" s="22"/>
      <c r="I64" s="22"/>
      <c r="J64" s="22"/>
      <c r="K64" s="22"/>
      <c r="CH64" s="4" t="s">
        <v>274</v>
      </c>
      <c r="DB64" s="4">
        <v>0</v>
      </c>
      <c r="DC64" s="4" t="str">
        <v/>
      </c>
      <c r="DD64" s="4" t="str">
        <v/>
      </c>
    </row>
    <row r="65" spans="8:108">
      <c r="H65" s="22"/>
      <c r="I65" s="22"/>
      <c r="J65" s="22"/>
      <c r="K65" s="22"/>
      <c r="BV65" s="4">
        <f>AC7-1</f>
        <v>12</v>
      </c>
      <c r="BX65" s="4">
        <f>AC8-1</f>
        <v>21</v>
      </c>
      <c r="BZ65" s="4" t="str" cm="1">
        <f t="array" ref="BZ65:BZ66">ADDRESS(BV65:BV66,BX65:BX66,4)</f>
        <v>U12</v>
      </c>
      <c r="CH65" s="4" cm="1">
        <f t="array" ref="CH65:CP73">--ISNUMBER(_xlfn.XMATCH(_xlfn.ANCHORARRAY($AU$17),_xlfn.ANCHORARRAY(BZ65)))</f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DB65" s="4">
        <v>0</v>
      </c>
      <c r="DC65" s="4" t="str">
        <v/>
      </c>
      <c r="DD65" s="4" t="str">
        <v/>
      </c>
    </row>
    <row r="66" spans="8:108">
      <c r="H66" s="22"/>
      <c r="I66" s="22"/>
      <c r="J66" s="22"/>
      <c r="K66" s="22"/>
      <c r="BV66" s="4">
        <f>AC7-1</f>
        <v>12</v>
      </c>
      <c r="BX66" s="4">
        <f>AC8+1</f>
        <v>23</v>
      </c>
      <c r="BZ66" s="4" t="str">
        <v>W12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DB66" s="4">
        <v>0</v>
      </c>
      <c r="DC66" s="4" t="str">
        <v/>
      </c>
      <c r="DD66" s="4" t="str">
        <v/>
      </c>
    </row>
    <row r="67" spans="8:108">
      <c r="H67" s="22"/>
      <c r="I67" s="22"/>
      <c r="J67" s="22"/>
      <c r="K67" s="22"/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DB67" s="4">
        <v>3</v>
      </c>
      <c r="DC67" s="4" t="str">
        <v>S10</v>
      </c>
      <c r="DD67" s="4">
        <v>0</v>
      </c>
    </row>
    <row r="68" spans="8:108">
      <c r="H68" s="22"/>
      <c r="I68" s="22"/>
      <c r="J68" s="22"/>
      <c r="K68" s="22"/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DB68" s="4">
        <v>0</v>
      </c>
      <c r="DC68" s="4" t="str">
        <v/>
      </c>
      <c r="DD68" s="4" t="str">
        <v/>
      </c>
    </row>
    <row r="69" spans="8:108">
      <c r="H69" s="22"/>
      <c r="I69" s="22"/>
      <c r="J69" s="22"/>
      <c r="K69" s="22"/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DB69" s="4">
        <v>0</v>
      </c>
      <c r="DC69" s="4" t="str">
        <v/>
      </c>
      <c r="DD69" s="4" t="str">
        <v/>
      </c>
    </row>
    <row r="70" spans="8:108"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DB70" s="4">
        <v>3</v>
      </c>
      <c r="DC70" s="4" t="str">
        <v>V10</v>
      </c>
      <c r="DD70" s="4">
        <v>0</v>
      </c>
    </row>
    <row r="71" spans="8:108"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DB71" s="4">
        <v>0</v>
      </c>
      <c r="DC71" s="4" t="str">
        <v/>
      </c>
      <c r="DD71" s="4" t="str">
        <v/>
      </c>
    </row>
    <row r="72" spans="8:108"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1</v>
      </c>
      <c r="CP72" s="4">
        <v>0</v>
      </c>
      <c r="DB72" s="4">
        <v>0</v>
      </c>
      <c r="DC72" s="4" t="str">
        <v/>
      </c>
      <c r="DD72" s="4" t="str">
        <v/>
      </c>
    </row>
    <row r="73" spans="8:108"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DB73" s="4">
        <v>0</v>
      </c>
      <c r="DC73" s="4" t="str">
        <v/>
      </c>
      <c r="DD73" s="4" t="str">
        <v/>
      </c>
    </row>
    <row r="74" spans="8:108">
      <c r="DB74" s="4">
        <v>0</v>
      </c>
      <c r="DC74" s="4" t="str">
        <v/>
      </c>
      <c r="DD74" s="4" t="str">
        <v/>
      </c>
    </row>
    <row r="75" spans="8:108">
      <c r="CH75" s="4" t="s">
        <v>275</v>
      </c>
      <c r="DB75" s="4">
        <v>0</v>
      </c>
      <c r="DC75" s="4" t="str">
        <v/>
      </c>
      <c r="DD75" s="4" t="str">
        <v/>
      </c>
    </row>
    <row r="76" spans="8:108">
      <c r="BV76" s="4">
        <f>AC7+1</f>
        <v>14</v>
      </c>
      <c r="BX76" s="4">
        <f>AC8-1</f>
        <v>21</v>
      </c>
      <c r="BZ76" s="4" t="str" cm="1">
        <f t="array" ref="BZ76:BZ77">ADDRESS(BV76:BV77,BX76:BX77,4)</f>
        <v>U14</v>
      </c>
      <c r="CH76" s="4" cm="1">
        <f t="array" ref="CH76:CP84">--ISNUMBER(_xlfn.XMATCH(_xlfn.ANCHORARRAY($AU$17),_xlfn.ANCHORARRAY(BZ76)))</f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DB76" s="4">
        <v>0</v>
      </c>
      <c r="DC76" s="4" t="str">
        <v/>
      </c>
      <c r="DD76" s="4" t="str">
        <v/>
      </c>
    </row>
    <row r="77" spans="8:108">
      <c r="BV77" s="4">
        <f>AC7+1</f>
        <v>14</v>
      </c>
      <c r="BX77" s="4">
        <f>AC8+1</f>
        <v>23</v>
      </c>
      <c r="BZ77" s="4" t="str">
        <v>W14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DB77" s="4">
        <v>2</v>
      </c>
      <c r="DC77" s="4" t="str">
        <v>T11</v>
      </c>
      <c r="DD77" s="4">
        <v>0</v>
      </c>
    </row>
    <row r="78" spans="8:108"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DB78" s="4">
        <v>0</v>
      </c>
      <c r="DC78" s="4" t="str">
        <v/>
      </c>
      <c r="DD78" s="4" t="str">
        <v/>
      </c>
    </row>
    <row r="79" spans="8:108"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DB79" s="4">
        <v>2</v>
      </c>
      <c r="DC79" s="4" t="str">
        <v>V11</v>
      </c>
      <c r="DD79" s="4">
        <v>0</v>
      </c>
    </row>
    <row r="80" spans="8:108"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DB80" s="4">
        <v>0</v>
      </c>
      <c r="DC80" s="4" t="str">
        <v/>
      </c>
      <c r="DD80" s="4" t="str">
        <v/>
      </c>
    </row>
    <row r="81" spans="86:108"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DB81" s="4">
        <v>0</v>
      </c>
      <c r="DC81" s="4" t="str">
        <v/>
      </c>
      <c r="DD81" s="4" t="str">
        <v/>
      </c>
    </row>
    <row r="82" spans="86:108"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DB82" s="4">
        <v>0</v>
      </c>
      <c r="DC82" s="4" t="str">
        <v/>
      </c>
      <c r="DD82" s="4" t="str">
        <v/>
      </c>
    </row>
    <row r="83" spans="86:108"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DB83" s="4">
        <v>0</v>
      </c>
      <c r="DC83" s="4" t="str">
        <v/>
      </c>
      <c r="DD83" s="4" t="str">
        <v/>
      </c>
    </row>
    <row r="84" spans="86:108"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DB84" s="4">
        <v>0</v>
      </c>
      <c r="DC84" s="4" t="str">
        <v/>
      </c>
      <c r="DD84" s="4" t="str">
        <v/>
      </c>
    </row>
    <row r="85" spans="86:108">
      <c r="DB85" s="4">
        <v>0</v>
      </c>
      <c r="DC85" s="4" t="str">
        <v/>
      </c>
      <c r="DD85" s="4" t="str">
        <v/>
      </c>
    </row>
    <row r="86" spans="86:108">
      <c r="DB86" s="4">
        <v>0</v>
      </c>
      <c r="DC86" s="4" t="str">
        <v/>
      </c>
      <c r="DD86" s="4" t="str">
        <v/>
      </c>
    </row>
    <row r="87" spans="86:108">
      <c r="DB87" s="4">
        <v>1</v>
      </c>
      <c r="DC87" s="4" t="str">
        <v>U12</v>
      </c>
      <c r="DD87" s="4">
        <v>0</v>
      </c>
    </row>
    <row r="88" spans="86:108">
      <c r="DB88" s="4">
        <v>1</v>
      </c>
      <c r="DC88" s="4" t="str">
        <v>V12</v>
      </c>
      <c r="DD88" s="4">
        <v>0</v>
      </c>
    </row>
    <row r="89" spans="86:108">
      <c r="DB89" s="4">
        <v>8</v>
      </c>
      <c r="DC89" s="4" t="str">
        <v>N13</v>
      </c>
      <c r="DD89" s="4">
        <v>0</v>
      </c>
    </row>
    <row r="90" spans="86:108">
      <c r="DB90" s="4">
        <v>7</v>
      </c>
      <c r="DC90" s="4" t="str">
        <v>O13</v>
      </c>
      <c r="DD90" s="4">
        <v>0</v>
      </c>
    </row>
    <row r="91" spans="86:108">
      <c r="DB91" s="4">
        <v>6</v>
      </c>
      <c r="DC91" s="4" t="str">
        <v>P13</v>
      </c>
      <c r="DD91" s="4">
        <v>0</v>
      </c>
    </row>
    <row r="92" spans="86:108">
      <c r="DB92" s="4">
        <v>5</v>
      </c>
      <c r="DC92" s="4" t="str">
        <v>Q13</v>
      </c>
      <c r="DD92" s="4">
        <v>0</v>
      </c>
    </row>
    <row r="93" spans="86:108">
      <c r="DB93" s="4">
        <v>4</v>
      </c>
      <c r="DC93" s="4" t="str">
        <v>R13</v>
      </c>
      <c r="DD93" s="4">
        <v>0</v>
      </c>
    </row>
    <row r="94" spans="86:108">
      <c r="DB94" s="4">
        <v>3</v>
      </c>
      <c r="DC94" s="4" t="str">
        <v>S13</v>
      </c>
      <c r="DD94" s="4">
        <v>0</v>
      </c>
    </row>
    <row r="95" spans="86:108">
      <c r="DB95" s="4">
        <v>2</v>
      </c>
      <c r="DC95" s="4" t="str">
        <v>T13</v>
      </c>
      <c r="DD95" s="4">
        <v>0</v>
      </c>
    </row>
    <row r="96" spans="86:108">
      <c r="DB96" s="4">
        <v>1</v>
      </c>
      <c r="DC96" s="4" t="str">
        <v>U13</v>
      </c>
      <c r="DD96" s="4">
        <v>0</v>
      </c>
    </row>
    <row r="97" spans="106:108">
      <c r="DB97" s="4">
        <v>0</v>
      </c>
      <c r="DC97" s="4" t="str">
        <v>V13</v>
      </c>
      <c r="DD97" s="4">
        <v>0</v>
      </c>
    </row>
  </sheetData>
  <mergeCells count="8">
    <mergeCell ref="Y41:AG41"/>
    <mergeCell ref="B2:W2"/>
    <mergeCell ref="C15:K15"/>
    <mergeCell ref="N15:V15"/>
    <mergeCell ref="C28:K28"/>
    <mergeCell ref="N28:V28"/>
    <mergeCell ref="C41:K41"/>
    <mergeCell ref="N41:V41"/>
  </mergeCells>
  <dataValidations disablePrompts="1" count="1">
    <dataValidation type="list" allowBlank="1" showInputMessage="1" showErrorMessage="1" sqref="CR14" xr:uid="{05698666-C94F-44D7-A767-ACD9B56BCC9E}">
      <formula1>_xlfn.ANCHORARRAY($DG$1)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ADBE-2453-4EC2-9921-F42B80A45877}">
  <sheetPr codeName="Sheet6"/>
  <dimension ref="B2:AD423"/>
  <sheetViews>
    <sheetView zoomScale="55" zoomScaleNormal="55" workbookViewId="0">
      <selection activeCell="AD27" sqref="AD27"/>
    </sheetView>
  </sheetViews>
  <sheetFormatPr defaultRowHeight="15"/>
  <cols>
    <col min="2" max="21" width="5.7109375" bestFit="1" customWidth="1"/>
  </cols>
  <sheetData>
    <row r="2" spans="2:21" ht="27.75">
      <c r="B2" s="20" t="s">
        <v>277</v>
      </c>
      <c r="C2" s="21" t="s">
        <v>266</v>
      </c>
      <c r="D2" s="20" t="s">
        <v>234</v>
      </c>
      <c r="E2" s="21" t="s">
        <v>277</v>
      </c>
      <c r="F2" s="20" t="s">
        <v>278</v>
      </c>
      <c r="G2" s="21" t="s">
        <v>279</v>
      </c>
      <c r="H2" s="20" t="s">
        <v>277</v>
      </c>
      <c r="I2" s="21" t="s">
        <v>278</v>
      </c>
      <c r="J2" s="20" t="s">
        <v>266</v>
      </c>
      <c r="K2" s="21" t="s">
        <v>264</v>
      </c>
      <c r="L2" s="20" t="s">
        <v>268</v>
      </c>
      <c r="M2" s="21" t="s">
        <v>266</v>
      </c>
      <c r="N2" s="20" t="s">
        <v>266</v>
      </c>
      <c r="O2" s="21" t="s">
        <v>277</v>
      </c>
      <c r="P2" s="20" t="s">
        <v>279</v>
      </c>
      <c r="Q2" s="21" t="s">
        <v>266</v>
      </c>
      <c r="R2" s="20" t="s">
        <v>279</v>
      </c>
      <c r="S2" s="21" t="s">
        <v>266</v>
      </c>
      <c r="T2" s="20" t="s">
        <v>268</v>
      </c>
      <c r="U2" s="21" t="s">
        <v>277</v>
      </c>
    </row>
    <row r="3" spans="2:21" ht="27.75">
      <c r="B3" s="21" t="s">
        <v>277</v>
      </c>
      <c r="C3" s="20" t="s">
        <v>277</v>
      </c>
      <c r="D3" s="21" t="s">
        <v>277</v>
      </c>
      <c r="E3" s="20" t="s">
        <v>256</v>
      </c>
      <c r="F3" s="21" t="s">
        <v>277</v>
      </c>
      <c r="G3" s="20" t="s">
        <v>277</v>
      </c>
      <c r="H3" s="21" t="s">
        <v>268</v>
      </c>
      <c r="I3" s="20" t="s">
        <v>268</v>
      </c>
      <c r="J3" s="21" t="s">
        <v>268</v>
      </c>
      <c r="K3" s="20" t="s">
        <v>277</v>
      </c>
      <c r="L3" s="21" t="s">
        <v>277</v>
      </c>
      <c r="M3" s="20" t="s">
        <v>277</v>
      </c>
      <c r="N3" s="21" t="s">
        <v>277</v>
      </c>
      <c r="O3" s="20" t="s">
        <v>277</v>
      </c>
      <c r="P3" s="21" t="s">
        <v>266</v>
      </c>
      <c r="Q3" s="20" t="s">
        <v>266</v>
      </c>
      <c r="R3" s="21" t="s">
        <v>277</v>
      </c>
      <c r="S3" s="20" t="s">
        <v>277</v>
      </c>
      <c r="T3" s="21" t="s">
        <v>277</v>
      </c>
      <c r="U3" s="20" t="s">
        <v>277</v>
      </c>
    </row>
    <row r="4" spans="2:21" ht="27.75">
      <c r="B4" s="20" t="s">
        <v>277</v>
      </c>
      <c r="C4" s="21" t="s">
        <v>268</v>
      </c>
      <c r="D4" s="20" t="s">
        <v>277</v>
      </c>
      <c r="E4" s="21" t="s">
        <v>256</v>
      </c>
      <c r="F4" s="20" t="s">
        <v>266</v>
      </c>
      <c r="G4" s="21" t="s">
        <v>256</v>
      </c>
      <c r="H4" s="20" t="s">
        <v>277</v>
      </c>
      <c r="I4" s="21" t="s">
        <v>277</v>
      </c>
      <c r="J4" s="20" t="s">
        <v>277</v>
      </c>
      <c r="K4" s="21" t="s">
        <v>258</v>
      </c>
      <c r="L4" s="20" t="s">
        <v>266</v>
      </c>
      <c r="M4" s="21" t="s">
        <v>277</v>
      </c>
      <c r="N4" s="20" t="s">
        <v>266</v>
      </c>
      <c r="O4" s="21" t="s">
        <v>277</v>
      </c>
      <c r="P4" s="20" t="s">
        <v>277</v>
      </c>
      <c r="Q4" s="21" t="s">
        <v>277</v>
      </c>
      <c r="R4" s="20" t="s">
        <v>278</v>
      </c>
      <c r="S4" s="21" t="s">
        <v>277</v>
      </c>
      <c r="T4" s="20" t="s">
        <v>266</v>
      </c>
      <c r="U4" s="21" t="s">
        <v>277</v>
      </c>
    </row>
    <row r="5" spans="2:21" ht="27.75">
      <c r="B5" s="21" t="s">
        <v>277</v>
      </c>
      <c r="C5" s="20" t="s">
        <v>277</v>
      </c>
      <c r="D5" s="21" t="s">
        <v>264</v>
      </c>
      <c r="E5" s="20" t="s">
        <v>277</v>
      </c>
      <c r="F5" s="21" t="s">
        <v>268</v>
      </c>
      <c r="G5" s="20" t="s">
        <v>277</v>
      </c>
      <c r="H5" s="21" t="s">
        <v>266</v>
      </c>
      <c r="I5" s="20" t="s">
        <v>277</v>
      </c>
      <c r="J5" s="21" t="s">
        <v>277</v>
      </c>
      <c r="K5" s="20" t="s">
        <v>277</v>
      </c>
      <c r="L5" s="21" t="s">
        <v>277</v>
      </c>
      <c r="M5" s="20" t="s">
        <v>266</v>
      </c>
      <c r="N5" s="21" t="s">
        <v>264</v>
      </c>
      <c r="O5" s="20" t="s">
        <v>277</v>
      </c>
      <c r="P5" s="21" t="s">
        <v>277</v>
      </c>
      <c r="Q5" s="20" t="s">
        <v>277</v>
      </c>
      <c r="R5" s="21" t="s">
        <v>256</v>
      </c>
      <c r="S5" s="20" t="s">
        <v>277</v>
      </c>
      <c r="T5" s="21" t="s">
        <v>268</v>
      </c>
      <c r="U5" s="20" t="s">
        <v>277</v>
      </c>
    </row>
    <row r="6" spans="2:21" ht="27.75">
      <c r="B6" s="20" t="s">
        <v>268</v>
      </c>
      <c r="C6" s="21" t="s">
        <v>256</v>
      </c>
      <c r="D6" s="20" t="s">
        <v>277</v>
      </c>
      <c r="E6" s="21" t="s">
        <v>266</v>
      </c>
      <c r="F6" s="20" t="s">
        <v>277</v>
      </c>
      <c r="G6" s="21" t="s">
        <v>277</v>
      </c>
      <c r="H6" s="20" t="s">
        <v>264</v>
      </c>
      <c r="I6" s="21" t="s">
        <v>277</v>
      </c>
      <c r="J6" s="20" t="s">
        <v>266</v>
      </c>
      <c r="K6" s="21" t="s">
        <v>258</v>
      </c>
      <c r="L6" s="20" t="s">
        <v>277</v>
      </c>
      <c r="M6" s="21" t="s">
        <v>277</v>
      </c>
      <c r="N6" s="20" t="s">
        <v>277</v>
      </c>
      <c r="O6" s="21" t="s">
        <v>258</v>
      </c>
      <c r="P6" s="20" t="s">
        <v>268</v>
      </c>
      <c r="Q6" s="21" t="s">
        <v>277</v>
      </c>
      <c r="R6" s="20" t="s">
        <v>280</v>
      </c>
      <c r="S6" s="21" t="s">
        <v>277</v>
      </c>
      <c r="T6" s="20" t="s">
        <v>268</v>
      </c>
      <c r="U6" s="21" t="s">
        <v>277</v>
      </c>
    </row>
    <row r="7" spans="2:21" ht="27.75">
      <c r="B7" s="21" t="s">
        <v>277</v>
      </c>
      <c r="C7" s="20" t="s">
        <v>277</v>
      </c>
      <c r="D7" s="21" t="s">
        <v>277</v>
      </c>
      <c r="E7" s="20" t="s">
        <v>264</v>
      </c>
      <c r="F7" s="21" t="s">
        <v>277</v>
      </c>
      <c r="G7" s="20" t="s">
        <v>266</v>
      </c>
      <c r="H7" s="21" t="s">
        <v>279</v>
      </c>
      <c r="I7" s="20" t="s">
        <v>279</v>
      </c>
      <c r="J7" s="21" t="s">
        <v>277</v>
      </c>
      <c r="K7" s="20" t="s">
        <v>277</v>
      </c>
      <c r="L7" s="21" t="s">
        <v>277</v>
      </c>
      <c r="M7" s="20" t="s">
        <v>258</v>
      </c>
      <c r="N7" s="21" t="s">
        <v>266</v>
      </c>
      <c r="O7" s="20" t="s">
        <v>277</v>
      </c>
      <c r="P7" s="21" t="s">
        <v>278</v>
      </c>
      <c r="Q7" s="20" t="s">
        <v>277</v>
      </c>
      <c r="R7" s="21" t="s">
        <v>266</v>
      </c>
      <c r="S7" s="20" t="s">
        <v>277</v>
      </c>
      <c r="T7" s="21" t="s">
        <v>277</v>
      </c>
      <c r="U7" s="20" t="s">
        <v>266</v>
      </c>
    </row>
    <row r="8" spans="2:21" ht="27.75">
      <c r="B8" s="20" t="s">
        <v>268</v>
      </c>
      <c r="C8" s="21" t="s">
        <v>243</v>
      </c>
      <c r="D8" s="20" t="s">
        <v>258</v>
      </c>
      <c r="E8" s="21" t="s">
        <v>277</v>
      </c>
      <c r="F8" s="20" t="s">
        <v>279</v>
      </c>
      <c r="G8" s="21" t="s">
        <v>277</v>
      </c>
      <c r="H8" s="20" t="s">
        <v>277</v>
      </c>
      <c r="I8" s="21" t="s">
        <v>277</v>
      </c>
      <c r="J8" s="20" t="s">
        <v>278</v>
      </c>
      <c r="K8" s="21" t="s">
        <v>277</v>
      </c>
      <c r="L8" s="20" t="s">
        <v>266</v>
      </c>
      <c r="M8" s="21" t="s">
        <v>258</v>
      </c>
      <c r="N8" s="20" t="s">
        <v>280</v>
      </c>
      <c r="O8" s="21" t="s">
        <v>280</v>
      </c>
      <c r="P8" s="20" t="s">
        <v>258</v>
      </c>
      <c r="Q8" s="21" t="s">
        <v>258</v>
      </c>
      <c r="R8" s="20" t="s">
        <v>279</v>
      </c>
      <c r="S8" s="21" t="s">
        <v>268</v>
      </c>
      <c r="T8" s="20" t="s">
        <v>268</v>
      </c>
      <c r="U8" s="21" t="s">
        <v>266</v>
      </c>
    </row>
    <row r="9" spans="2:21" ht="27.75">
      <c r="B9" s="21" t="s">
        <v>277</v>
      </c>
      <c r="C9" s="20" t="s">
        <v>278</v>
      </c>
      <c r="D9" s="21" t="s">
        <v>279</v>
      </c>
      <c r="E9" s="20" t="s">
        <v>278</v>
      </c>
      <c r="F9" s="21" t="s">
        <v>277</v>
      </c>
      <c r="G9" s="20" t="s">
        <v>277</v>
      </c>
      <c r="H9" s="21" t="s">
        <v>268</v>
      </c>
      <c r="I9" s="20" t="s">
        <v>266</v>
      </c>
      <c r="J9" s="21" t="s">
        <v>234</v>
      </c>
      <c r="K9" s="20" t="s">
        <v>277</v>
      </c>
      <c r="L9" s="21" t="s">
        <v>268</v>
      </c>
      <c r="M9" s="20" t="s">
        <v>277</v>
      </c>
      <c r="N9" s="21" t="s">
        <v>277</v>
      </c>
      <c r="O9" s="20" t="s">
        <v>277</v>
      </c>
      <c r="P9" s="21" t="s">
        <v>268</v>
      </c>
      <c r="Q9" s="20" t="s">
        <v>277</v>
      </c>
      <c r="R9" s="21" t="s">
        <v>277</v>
      </c>
      <c r="S9" s="20" t="s">
        <v>277</v>
      </c>
      <c r="T9" s="21" t="s">
        <v>278</v>
      </c>
      <c r="U9" s="20" t="s">
        <v>277</v>
      </c>
    </row>
    <row r="10" spans="2:21" ht="27.75">
      <c r="B10" s="20" t="s">
        <v>277</v>
      </c>
      <c r="C10" s="21" t="s">
        <v>268</v>
      </c>
      <c r="D10" s="20" t="s">
        <v>268</v>
      </c>
      <c r="E10" s="21" t="s">
        <v>277</v>
      </c>
      <c r="F10" s="20" t="s">
        <v>256</v>
      </c>
      <c r="G10" s="21" t="s">
        <v>266</v>
      </c>
      <c r="H10" s="20" t="s">
        <v>268</v>
      </c>
      <c r="I10" s="21" t="s">
        <v>258</v>
      </c>
      <c r="J10" s="20" t="s">
        <v>266</v>
      </c>
      <c r="K10" s="21" t="s">
        <v>278</v>
      </c>
      <c r="L10" s="20" t="s">
        <v>277</v>
      </c>
      <c r="M10" s="21" t="s">
        <v>277</v>
      </c>
      <c r="N10" s="20" t="s">
        <v>278</v>
      </c>
      <c r="O10" s="21" t="s">
        <v>280</v>
      </c>
      <c r="P10" s="20" t="s">
        <v>256</v>
      </c>
      <c r="Q10" s="21" t="s">
        <v>268</v>
      </c>
      <c r="R10" s="20" t="s">
        <v>264</v>
      </c>
      <c r="S10" s="21" t="s">
        <v>277</v>
      </c>
      <c r="T10" s="20" t="s">
        <v>277</v>
      </c>
      <c r="U10" s="21" t="s">
        <v>280</v>
      </c>
    </row>
    <row r="11" spans="2:21" ht="27.75">
      <c r="B11" s="21" t="s">
        <v>277</v>
      </c>
      <c r="C11" s="20" t="s">
        <v>277</v>
      </c>
      <c r="D11" s="21" t="s">
        <v>266</v>
      </c>
      <c r="E11" s="20" t="s">
        <v>277</v>
      </c>
      <c r="F11" s="21" t="s">
        <v>268</v>
      </c>
      <c r="G11" s="20" t="s">
        <v>277</v>
      </c>
      <c r="H11" s="21" t="s">
        <v>277</v>
      </c>
      <c r="I11" s="20" t="s">
        <v>277</v>
      </c>
      <c r="J11" s="21" t="s">
        <v>279</v>
      </c>
      <c r="K11" s="20" t="s">
        <v>266</v>
      </c>
      <c r="L11" s="21" t="s">
        <v>266</v>
      </c>
      <c r="M11" s="20" t="s">
        <v>277</v>
      </c>
      <c r="N11" s="21" t="s">
        <v>277</v>
      </c>
      <c r="O11" s="20" t="s">
        <v>266</v>
      </c>
      <c r="P11" s="21" t="s">
        <v>277</v>
      </c>
      <c r="Q11" s="20" t="s">
        <v>280</v>
      </c>
      <c r="R11" s="21" t="s">
        <v>277</v>
      </c>
      <c r="S11" s="20" t="s">
        <v>277</v>
      </c>
      <c r="T11" s="21" t="s">
        <v>268</v>
      </c>
      <c r="U11" s="20" t="s">
        <v>277</v>
      </c>
    </row>
    <row r="12" spans="2:21" ht="27.75">
      <c r="B12" s="20" t="s">
        <v>258</v>
      </c>
      <c r="C12" s="21" t="s">
        <v>277</v>
      </c>
      <c r="D12" s="20" t="s">
        <v>277</v>
      </c>
      <c r="E12" s="21" t="s">
        <v>277</v>
      </c>
      <c r="F12" s="20" t="s">
        <v>268</v>
      </c>
      <c r="G12" s="21" t="s">
        <v>256</v>
      </c>
      <c r="H12" s="20" t="s">
        <v>280</v>
      </c>
      <c r="I12" s="21" t="s">
        <v>268</v>
      </c>
      <c r="J12" s="20" t="s">
        <v>277</v>
      </c>
      <c r="K12" s="21" t="s">
        <v>278</v>
      </c>
      <c r="L12" s="20" t="s">
        <v>277</v>
      </c>
      <c r="M12" s="21" t="s">
        <v>277</v>
      </c>
      <c r="N12" s="20" t="s">
        <v>268</v>
      </c>
      <c r="O12" s="21" t="s">
        <v>278</v>
      </c>
      <c r="P12" s="20" t="s">
        <v>277</v>
      </c>
      <c r="Q12" s="21" t="s">
        <v>280</v>
      </c>
      <c r="R12" s="20" t="s">
        <v>268</v>
      </c>
      <c r="S12" s="21" t="s">
        <v>268</v>
      </c>
      <c r="T12" s="20" t="s">
        <v>268</v>
      </c>
      <c r="U12" s="21" t="s">
        <v>277</v>
      </c>
    </row>
    <row r="13" spans="2:21" ht="27.75">
      <c r="B13" s="21" t="s">
        <v>277</v>
      </c>
      <c r="C13" s="20" t="s">
        <v>277</v>
      </c>
      <c r="D13" s="21" t="s">
        <v>266</v>
      </c>
      <c r="E13" s="20" t="s">
        <v>258</v>
      </c>
      <c r="F13" s="21" t="s">
        <v>280</v>
      </c>
      <c r="G13" s="20" t="s">
        <v>277</v>
      </c>
      <c r="H13" s="21" t="s">
        <v>278</v>
      </c>
      <c r="I13" s="20" t="s">
        <v>277</v>
      </c>
      <c r="J13" s="21" t="s">
        <v>277</v>
      </c>
      <c r="K13" s="20" t="s">
        <v>277</v>
      </c>
      <c r="L13" s="21" t="s">
        <v>277</v>
      </c>
      <c r="M13" s="20" t="s">
        <v>277</v>
      </c>
      <c r="N13" s="21" t="s">
        <v>279</v>
      </c>
      <c r="O13" s="20" t="s">
        <v>279</v>
      </c>
      <c r="P13" s="21" t="s">
        <v>277</v>
      </c>
      <c r="Q13" s="20" t="s">
        <v>277</v>
      </c>
      <c r="R13" s="21" t="s">
        <v>258</v>
      </c>
      <c r="S13" s="20" t="s">
        <v>264</v>
      </c>
      <c r="T13" s="21" t="s">
        <v>277</v>
      </c>
      <c r="U13" s="20" t="s">
        <v>258</v>
      </c>
    </row>
    <row r="14" spans="2:21" ht="27.75">
      <c r="B14" s="20" t="s">
        <v>279</v>
      </c>
      <c r="C14" s="21" t="s">
        <v>268</v>
      </c>
      <c r="D14" s="20" t="s">
        <v>277</v>
      </c>
      <c r="E14" s="21" t="s">
        <v>277</v>
      </c>
      <c r="F14" s="20" t="s">
        <v>266</v>
      </c>
      <c r="G14" s="21" t="s">
        <v>277</v>
      </c>
      <c r="H14" s="20" t="s">
        <v>277</v>
      </c>
      <c r="I14" s="21" t="s">
        <v>264</v>
      </c>
      <c r="J14" s="20" t="s">
        <v>277</v>
      </c>
      <c r="K14" s="21" t="s">
        <v>268</v>
      </c>
      <c r="L14" s="20" t="s">
        <v>277</v>
      </c>
      <c r="M14" s="21" t="s">
        <v>277</v>
      </c>
      <c r="N14" s="20" t="s">
        <v>256</v>
      </c>
      <c r="O14" s="21" t="s">
        <v>277</v>
      </c>
      <c r="P14" s="20" t="s">
        <v>264</v>
      </c>
      <c r="Q14" s="21" t="s">
        <v>268</v>
      </c>
      <c r="R14" s="20" t="s">
        <v>277</v>
      </c>
      <c r="S14" s="21" t="s">
        <v>277</v>
      </c>
      <c r="T14" s="20" t="s">
        <v>256</v>
      </c>
      <c r="U14" s="21" t="s">
        <v>256</v>
      </c>
    </row>
    <row r="15" spans="2:21" ht="27.75">
      <c r="B15" s="21" t="s">
        <v>281</v>
      </c>
      <c r="C15" s="20" t="s">
        <v>277</v>
      </c>
      <c r="D15" s="21" t="s">
        <v>277</v>
      </c>
      <c r="E15" s="20" t="s">
        <v>277</v>
      </c>
      <c r="F15" s="21" t="s">
        <v>266</v>
      </c>
      <c r="G15" s="20" t="s">
        <v>277</v>
      </c>
      <c r="H15" s="21" t="s">
        <v>266</v>
      </c>
      <c r="I15" s="20" t="s">
        <v>264</v>
      </c>
      <c r="J15" s="21" t="s">
        <v>277</v>
      </c>
      <c r="K15" s="20" t="s">
        <v>277</v>
      </c>
      <c r="L15" s="21" t="s">
        <v>266</v>
      </c>
      <c r="M15" s="20" t="s">
        <v>277</v>
      </c>
      <c r="N15" s="21" t="s">
        <v>277</v>
      </c>
      <c r="O15" s="20" t="s">
        <v>268</v>
      </c>
      <c r="P15" s="21" t="s">
        <v>277</v>
      </c>
      <c r="Q15" s="20" t="s">
        <v>277</v>
      </c>
      <c r="R15" s="21" t="s">
        <v>277</v>
      </c>
      <c r="S15" s="20" t="s">
        <v>277</v>
      </c>
      <c r="T15" s="21" t="s">
        <v>256</v>
      </c>
      <c r="U15" s="20" t="s">
        <v>277</v>
      </c>
    </row>
    <row r="16" spans="2:21" ht="27.75">
      <c r="B16" s="20" t="s">
        <v>277</v>
      </c>
      <c r="C16" s="21" t="s">
        <v>277</v>
      </c>
      <c r="D16" s="20" t="s">
        <v>277</v>
      </c>
      <c r="E16" s="21" t="s">
        <v>277</v>
      </c>
      <c r="F16" s="20" t="s">
        <v>277</v>
      </c>
      <c r="G16" s="21" t="s">
        <v>264</v>
      </c>
      <c r="H16" s="20" t="s">
        <v>277</v>
      </c>
      <c r="I16" s="21" t="s">
        <v>264</v>
      </c>
      <c r="J16" s="20" t="s">
        <v>277</v>
      </c>
      <c r="K16" s="21" t="s">
        <v>266</v>
      </c>
      <c r="L16" s="20" t="s">
        <v>277</v>
      </c>
      <c r="M16" s="21" t="s">
        <v>266</v>
      </c>
      <c r="N16" s="20" t="s">
        <v>266</v>
      </c>
      <c r="O16" s="21" t="s">
        <v>268</v>
      </c>
      <c r="P16" s="20" t="s">
        <v>277</v>
      </c>
      <c r="Q16" s="21" t="s">
        <v>266</v>
      </c>
      <c r="R16" s="20" t="s">
        <v>258</v>
      </c>
      <c r="S16" s="21" t="s">
        <v>277</v>
      </c>
      <c r="T16" s="20" t="s">
        <v>280</v>
      </c>
      <c r="U16" s="21" t="s">
        <v>277</v>
      </c>
    </row>
    <row r="17" spans="2:30" ht="27.75">
      <c r="B17" s="21" t="s">
        <v>266</v>
      </c>
      <c r="C17" s="20" t="s">
        <v>277</v>
      </c>
      <c r="D17" s="21" t="s">
        <v>280</v>
      </c>
      <c r="E17" s="20" t="s">
        <v>280</v>
      </c>
      <c r="F17" s="21" t="s">
        <v>277</v>
      </c>
      <c r="G17" s="20" t="s">
        <v>266</v>
      </c>
      <c r="H17" s="21" t="s">
        <v>268</v>
      </c>
      <c r="I17" s="20" t="s">
        <v>277</v>
      </c>
      <c r="J17" s="21" t="s">
        <v>277</v>
      </c>
      <c r="K17" s="20" t="s">
        <v>277</v>
      </c>
      <c r="L17" s="21" t="s">
        <v>277</v>
      </c>
      <c r="M17" s="20" t="s">
        <v>266</v>
      </c>
      <c r="N17" s="21" t="s">
        <v>278</v>
      </c>
      <c r="O17" s="20" t="s">
        <v>280</v>
      </c>
      <c r="P17" s="21" t="s">
        <v>277</v>
      </c>
      <c r="Q17" s="20" t="s">
        <v>279</v>
      </c>
      <c r="R17" s="21" t="s">
        <v>277</v>
      </c>
      <c r="S17" s="20" t="s">
        <v>277</v>
      </c>
      <c r="T17" s="21" t="s">
        <v>277</v>
      </c>
      <c r="U17" s="20" t="s">
        <v>268</v>
      </c>
    </row>
    <row r="18" spans="2:30" ht="27.75">
      <c r="B18" s="20" t="s">
        <v>266</v>
      </c>
      <c r="C18" s="21" t="s">
        <v>256</v>
      </c>
      <c r="D18" s="20" t="s">
        <v>277</v>
      </c>
      <c r="E18" s="21" t="s">
        <v>277</v>
      </c>
      <c r="F18" s="20" t="s">
        <v>268</v>
      </c>
      <c r="G18" s="21" t="s">
        <v>277</v>
      </c>
      <c r="H18" s="20" t="s">
        <v>277</v>
      </c>
      <c r="I18" s="21" t="s">
        <v>277</v>
      </c>
      <c r="J18" s="20" t="s">
        <v>277</v>
      </c>
      <c r="K18" s="21" t="s">
        <v>266</v>
      </c>
      <c r="L18" s="20" t="s">
        <v>277</v>
      </c>
      <c r="M18" s="21" t="s">
        <v>266</v>
      </c>
      <c r="N18" s="20" t="s">
        <v>243</v>
      </c>
      <c r="O18" s="21" t="s">
        <v>268</v>
      </c>
      <c r="P18" s="20" t="s">
        <v>243</v>
      </c>
      <c r="Q18" s="21" t="s">
        <v>277</v>
      </c>
      <c r="R18" s="20" t="s">
        <v>277</v>
      </c>
      <c r="S18" s="21" t="s">
        <v>277</v>
      </c>
      <c r="T18" s="20" t="s">
        <v>277</v>
      </c>
      <c r="U18" s="21" t="s">
        <v>277</v>
      </c>
    </row>
    <row r="19" spans="2:30" ht="27.75">
      <c r="B19" s="21" t="s">
        <v>264</v>
      </c>
      <c r="C19" s="20" t="s">
        <v>264</v>
      </c>
      <c r="D19" s="21" t="s">
        <v>279</v>
      </c>
      <c r="E19" s="20" t="s">
        <v>268</v>
      </c>
      <c r="F19" s="21" t="s">
        <v>278</v>
      </c>
      <c r="G19" s="20" t="s">
        <v>277</v>
      </c>
      <c r="H19" s="21" t="s">
        <v>277</v>
      </c>
      <c r="I19" s="20" t="s">
        <v>280</v>
      </c>
      <c r="J19" s="21" t="s">
        <v>277</v>
      </c>
      <c r="K19" s="20" t="s">
        <v>277</v>
      </c>
      <c r="L19" s="21" t="s">
        <v>277</v>
      </c>
      <c r="M19" s="20" t="s">
        <v>266</v>
      </c>
      <c r="N19" s="21" t="s">
        <v>277</v>
      </c>
      <c r="O19" s="20" t="s">
        <v>266</v>
      </c>
      <c r="P19" s="21" t="s">
        <v>256</v>
      </c>
      <c r="Q19" s="20" t="s">
        <v>277</v>
      </c>
      <c r="R19" s="21" t="s">
        <v>266</v>
      </c>
      <c r="S19" s="20" t="s">
        <v>277</v>
      </c>
      <c r="T19" s="21" t="s">
        <v>268</v>
      </c>
      <c r="U19" s="20" t="s">
        <v>279</v>
      </c>
    </row>
    <row r="20" spans="2:30" ht="27.75">
      <c r="B20" s="20" t="s">
        <v>277</v>
      </c>
      <c r="C20" s="21" t="s">
        <v>268</v>
      </c>
      <c r="D20" s="20" t="s">
        <v>256</v>
      </c>
      <c r="E20" s="21" t="s">
        <v>277</v>
      </c>
      <c r="F20" s="20" t="s">
        <v>268</v>
      </c>
      <c r="G20" s="21" t="s">
        <v>277</v>
      </c>
      <c r="H20" s="20" t="s">
        <v>258</v>
      </c>
      <c r="I20" s="21" t="s">
        <v>277</v>
      </c>
      <c r="J20" s="20" t="s">
        <v>277</v>
      </c>
      <c r="K20" s="21" t="s">
        <v>231</v>
      </c>
      <c r="L20" s="20" t="s">
        <v>280</v>
      </c>
      <c r="M20" s="21" t="s">
        <v>277</v>
      </c>
      <c r="N20" s="20" t="s">
        <v>277</v>
      </c>
      <c r="O20" s="21" t="s">
        <v>277</v>
      </c>
      <c r="P20" s="20" t="s">
        <v>266</v>
      </c>
      <c r="Q20" s="21" t="s">
        <v>277</v>
      </c>
      <c r="R20" s="20" t="s">
        <v>277</v>
      </c>
      <c r="S20" s="21" t="s">
        <v>234</v>
      </c>
      <c r="T20" s="20" t="s">
        <v>264</v>
      </c>
      <c r="U20" s="21" t="s">
        <v>268</v>
      </c>
    </row>
    <row r="21" spans="2:30" ht="27.75">
      <c r="B21" s="21" t="s">
        <v>277</v>
      </c>
      <c r="C21" s="20" t="s">
        <v>277</v>
      </c>
      <c r="D21" s="21" t="s">
        <v>268</v>
      </c>
      <c r="E21" s="20" t="s">
        <v>243</v>
      </c>
      <c r="F21" s="21" t="s">
        <v>277</v>
      </c>
      <c r="G21" s="20" t="s">
        <v>266</v>
      </c>
      <c r="H21" s="21" t="s">
        <v>277</v>
      </c>
      <c r="I21" s="20" t="s">
        <v>268</v>
      </c>
      <c r="J21" s="21" t="s">
        <v>277</v>
      </c>
      <c r="K21" s="20" t="s">
        <v>268</v>
      </c>
      <c r="L21" s="21" t="s">
        <v>268</v>
      </c>
      <c r="M21" s="20" t="s">
        <v>277</v>
      </c>
      <c r="N21" s="21" t="s">
        <v>277</v>
      </c>
      <c r="O21" s="20" t="s">
        <v>268</v>
      </c>
      <c r="P21" s="21" t="s">
        <v>268</v>
      </c>
      <c r="Q21" s="20" t="s">
        <v>277</v>
      </c>
      <c r="R21" s="21" t="s">
        <v>268</v>
      </c>
      <c r="S21" s="20" t="s">
        <v>266</v>
      </c>
      <c r="T21" s="21" t="s">
        <v>277</v>
      </c>
      <c r="U21" s="20" t="s">
        <v>234</v>
      </c>
    </row>
    <row r="23" spans="2:30">
      <c r="H23" t="s">
        <v>282</v>
      </c>
    </row>
    <row r="24" spans="2:30">
      <c r="B24" t="str" cm="1">
        <f t="array" ref="B24:C423">Flatten(B2:U21)</f>
        <v>B2</v>
      </c>
      <c r="C24" t="str">
        <v xml:space="preserve"> </v>
      </c>
    </row>
    <row r="25" spans="2:30">
      <c r="B25" t="str">
        <v>C2</v>
      </c>
      <c r="C25" t="str">
        <v>♙</v>
      </c>
    </row>
    <row r="26" spans="2:30">
      <c r="B26" t="str">
        <v>D2</v>
      </c>
      <c r="C26" t="str">
        <v>♕</v>
      </c>
    </row>
    <row r="27" spans="2:30" ht="27.75">
      <c r="B27" t="str">
        <v>E2</v>
      </c>
      <c r="C27" t="str">
        <v xml:space="preserve"> </v>
      </c>
      <c r="H27" s="20" t="e" cm="1">
        <f t="array" aca="1" ref="H27" ca="1">Lz_Chess(B2:U21,H23,_xlfn.XLOOKUP(H23,B24:B423,C24:C423),1,,1,)</f>
        <v>#NAME?</v>
      </c>
      <c r="I27" s="21"/>
      <c r="J27" s="20"/>
      <c r="K27" s="21"/>
      <c r="L27" s="20"/>
      <c r="M27" s="21"/>
      <c r="N27" s="20"/>
      <c r="O27" s="21"/>
      <c r="P27" s="20"/>
      <c r="Q27" s="21"/>
      <c r="R27" s="20"/>
      <c r="S27" s="21"/>
      <c r="T27" s="20"/>
      <c r="U27" s="21"/>
      <c r="V27" s="20"/>
      <c r="W27" s="21"/>
      <c r="X27" s="20"/>
      <c r="Y27" s="21"/>
      <c r="Z27" s="20"/>
      <c r="AA27" s="21"/>
      <c r="AD27" t="e" cm="1">
        <f t="array" aca="1" ref="AD27" ca="1">Lz_Chess(B2:U21,H23,_xlfn.XLOOKUP(H23,B24:B423,C24:C423),1,,1,)</f>
        <v>#NAME?</v>
      </c>
    </row>
    <row r="28" spans="2:30" ht="27.75">
      <c r="B28" t="str">
        <v>F2</v>
      </c>
      <c r="C28" t="str">
        <v>♝</v>
      </c>
      <c r="H28" s="21"/>
      <c r="I28" s="20"/>
      <c r="J28" s="21"/>
      <c r="K28" s="20"/>
      <c r="L28" s="21"/>
      <c r="M28" s="20"/>
      <c r="N28" s="21"/>
      <c r="O28" s="20"/>
      <c r="P28" s="21"/>
      <c r="Q28" s="20"/>
      <c r="R28" s="21"/>
      <c r="S28" s="20"/>
      <c r="T28" s="21"/>
      <c r="U28" s="20"/>
      <c r="V28" s="21"/>
      <c r="W28" s="20"/>
      <c r="X28" s="21"/>
      <c r="Y28" s="20"/>
      <c r="Z28" s="21"/>
      <c r="AA28" s="20"/>
    </row>
    <row r="29" spans="2:30" ht="27.75">
      <c r="B29" t="str">
        <v>G2</v>
      </c>
      <c r="C29" t="str">
        <v>♞</v>
      </c>
      <c r="H29" s="20"/>
      <c r="I29" s="21"/>
      <c r="J29" s="20"/>
      <c r="K29" s="21"/>
      <c r="L29" s="20"/>
      <c r="M29" s="21"/>
      <c r="N29" s="20"/>
      <c r="O29" s="21"/>
      <c r="P29" s="20"/>
      <c r="Q29" s="21"/>
      <c r="R29" s="20"/>
      <c r="S29" s="21"/>
      <c r="T29" s="20"/>
      <c r="U29" s="21"/>
      <c r="V29" s="20"/>
      <c r="W29" s="21"/>
      <c r="X29" s="20"/>
      <c r="Y29" s="21"/>
      <c r="Z29" s="20"/>
      <c r="AA29" s="21"/>
    </row>
    <row r="30" spans="2:30" ht="27.75">
      <c r="B30" t="str">
        <v>H2</v>
      </c>
      <c r="C30" t="str">
        <v xml:space="preserve"> </v>
      </c>
      <c r="H30" s="21"/>
      <c r="I30" s="20"/>
      <c r="J30" s="21"/>
      <c r="K30" s="20"/>
      <c r="L30" s="21"/>
      <c r="M30" s="20"/>
      <c r="N30" s="21"/>
      <c r="O30" s="20"/>
      <c r="P30" s="21"/>
      <c r="Q30" s="20"/>
      <c r="R30" s="21"/>
      <c r="S30" s="20"/>
      <c r="T30" s="21"/>
      <c r="U30" s="20"/>
      <c r="V30" s="21"/>
      <c r="W30" s="20"/>
      <c r="X30" s="21"/>
      <c r="Y30" s="20"/>
      <c r="Z30" s="21"/>
      <c r="AA30" s="20"/>
    </row>
    <row r="31" spans="2:30" ht="27.75">
      <c r="B31" t="str">
        <v>I2</v>
      </c>
      <c r="C31" t="str">
        <v>♝</v>
      </c>
      <c r="H31" s="20"/>
      <c r="I31" s="21"/>
      <c r="J31" s="20"/>
      <c r="K31" s="21"/>
      <c r="L31" s="20"/>
      <c r="M31" s="21"/>
      <c r="N31" s="20"/>
      <c r="O31" s="21"/>
      <c r="P31" s="20"/>
      <c r="Q31" s="21"/>
      <c r="R31" s="20"/>
      <c r="S31" s="21"/>
      <c r="T31" s="20"/>
      <c r="U31" s="21"/>
      <c r="V31" s="20"/>
      <c r="W31" s="21"/>
      <c r="X31" s="20"/>
      <c r="Y31" s="21"/>
      <c r="Z31" s="20"/>
      <c r="AA31" s="21"/>
    </row>
    <row r="32" spans="2:30" ht="27.75">
      <c r="B32" t="str">
        <v>J2</v>
      </c>
      <c r="C32" t="str">
        <v>♙</v>
      </c>
      <c r="H32" s="21"/>
      <c r="I32" s="20"/>
      <c r="J32" s="21"/>
      <c r="K32" s="20"/>
      <c r="L32" s="21"/>
      <c r="M32" s="20"/>
      <c r="N32" s="21"/>
      <c r="O32" s="20"/>
      <c r="P32" s="21"/>
      <c r="Q32" s="20"/>
      <c r="R32" s="21"/>
      <c r="S32" s="20"/>
      <c r="T32" s="21"/>
      <c r="U32" s="20"/>
      <c r="V32" s="21"/>
      <c r="W32" s="20"/>
      <c r="X32" s="21"/>
      <c r="Y32" s="20"/>
      <c r="Z32" s="21"/>
      <c r="AA32" s="20"/>
    </row>
    <row r="33" spans="2:27" ht="27.75">
      <c r="B33" t="str">
        <v>K2</v>
      </c>
      <c r="C33" t="str">
        <v>♘</v>
      </c>
      <c r="H33" s="20"/>
      <c r="I33" s="21"/>
      <c r="J33" s="20"/>
      <c r="K33" s="21"/>
      <c r="L33" s="20"/>
      <c r="M33" s="21"/>
      <c r="N33" s="20"/>
      <c r="O33" s="21"/>
      <c r="P33" s="20"/>
      <c r="Q33" s="21"/>
      <c r="R33" s="20"/>
      <c r="S33" s="21"/>
      <c r="T33" s="20"/>
      <c r="U33" s="21"/>
      <c r="V33" s="20"/>
      <c r="W33" s="21"/>
      <c r="X33" s="20"/>
      <c r="Y33" s="21"/>
      <c r="Z33" s="20"/>
      <c r="AA33" s="21"/>
    </row>
    <row r="34" spans="2:27" ht="27.75">
      <c r="B34" t="str">
        <v>L2</v>
      </c>
      <c r="C34" t="str">
        <v>♟</v>
      </c>
      <c r="H34" s="21"/>
      <c r="I34" s="20"/>
      <c r="J34" s="21"/>
      <c r="K34" s="20"/>
      <c r="L34" s="21"/>
      <c r="M34" s="20"/>
      <c r="N34" s="21"/>
      <c r="O34" s="20"/>
      <c r="P34" s="21"/>
      <c r="Q34" s="20"/>
      <c r="R34" s="21"/>
      <c r="S34" s="20"/>
      <c r="T34" s="21"/>
      <c r="U34" s="20"/>
      <c r="V34" s="21"/>
      <c r="W34" s="20"/>
      <c r="X34" s="21"/>
      <c r="Y34" s="20"/>
      <c r="Z34" s="21"/>
      <c r="AA34" s="20"/>
    </row>
    <row r="35" spans="2:27" ht="27.75">
      <c r="B35" t="str">
        <v>M2</v>
      </c>
      <c r="C35" t="str">
        <v>♙</v>
      </c>
      <c r="H35" s="20"/>
      <c r="I35" s="21"/>
      <c r="J35" s="20"/>
      <c r="K35" s="21"/>
      <c r="L35" s="20"/>
      <c r="M35" s="21"/>
      <c r="N35" s="20"/>
      <c r="O35" s="21"/>
      <c r="P35" s="20"/>
      <c r="Q35" s="21"/>
      <c r="R35" s="20"/>
      <c r="S35" s="21"/>
      <c r="T35" s="20"/>
      <c r="U35" s="21"/>
      <c r="V35" s="20"/>
      <c r="W35" s="21"/>
      <c r="X35" s="20"/>
      <c r="Y35" s="21"/>
      <c r="Z35" s="20"/>
      <c r="AA35" s="21"/>
    </row>
    <row r="36" spans="2:27" ht="27.75">
      <c r="B36" t="str">
        <v>N2</v>
      </c>
      <c r="C36" t="str">
        <v>♙</v>
      </c>
      <c r="H36" s="21"/>
      <c r="I36" s="20"/>
      <c r="J36" s="21"/>
      <c r="K36" s="20"/>
      <c r="L36" s="21"/>
      <c r="M36" s="20"/>
      <c r="N36" s="21"/>
      <c r="O36" s="20"/>
      <c r="P36" s="21"/>
      <c r="Q36" s="20"/>
      <c r="R36" s="21"/>
      <c r="S36" s="20"/>
      <c r="T36" s="21"/>
      <c r="U36" s="20"/>
      <c r="V36" s="21"/>
      <c r="W36" s="20"/>
      <c r="X36" s="21"/>
      <c r="Y36" s="20"/>
      <c r="Z36" s="21"/>
      <c r="AA36" s="20"/>
    </row>
    <row r="37" spans="2:27" ht="27.75">
      <c r="B37" t="str">
        <v>O2</v>
      </c>
      <c r="C37" t="str">
        <v xml:space="preserve"> </v>
      </c>
      <c r="H37" s="20"/>
      <c r="I37" s="21"/>
      <c r="J37" s="20"/>
      <c r="K37" s="21"/>
      <c r="L37" s="20"/>
      <c r="M37" s="21"/>
      <c r="N37" s="20"/>
      <c r="O37" s="21"/>
      <c r="P37" s="20"/>
      <c r="Q37" s="21"/>
      <c r="R37" s="20"/>
      <c r="S37" s="21"/>
      <c r="T37" s="20"/>
      <c r="U37" s="21"/>
      <c r="V37" s="20"/>
      <c r="W37" s="21"/>
      <c r="X37" s="20"/>
      <c r="Y37" s="21"/>
      <c r="Z37" s="20"/>
      <c r="AA37" s="21"/>
    </row>
    <row r="38" spans="2:27" ht="27.75">
      <c r="B38" t="str">
        <v>P2</v>
      </c>
      <c r="C38" t="str">
        <v>♞</v>
      </c>
      <c r="H38" s="21"/>
      <c r="I38" s="20"/>
      <c r="J38" s="21"/>
      <c r="K38" s="20"/>
      <c r="L38" s="21"/>
      <c r="M38" s="20"/>
      <c r="N38" s="21"/>
      <c r="O38" s="20"/>
      <c r="P38" s="21"/>
      <c r="Q38" s="20"/>
      <c r="R38" s="21"/>
      <c r="S38" s="20"/>
      <c r="T38" s="21"/>
      <c r="U38" s="20"/>
      <c r="V38" s="21"/>
      <c r="W38" s="20"/>
      <c r="X38" s="21"/>
      <c r="Y38" s="20"/>
      <c r="Z38" s="21"/>
      <c r="AA38" s="20"/>
    </row>
    <row r="39" spans="2:27" ht="27.75">
      <c r="B39" t="str">
        <v>Q2</v>
      </c>
      <c r="C39" t="str">
        <v>♙</v>
      </c>
      <c r="H39" s="20"/>
      <c r="I39" s="21"/>
      <c r="J39" s="20"/>
      <c r="K39" s="21"/>
      <c r="L39" s="20"/>
      <c r="M39" s="21"/>
      <c r="N39" s="20"/>
      <c r="O39" s="21"/>
      <c r="P39" s="20"/>
      <c r="Q39" s="21"/>
      <c r="R39" s="20"/>
      <c r="S39" s="21"/>
      <c r="T39" s="20"/>
      <c r="U39" s="21"/>
      <c r="V39" s="20"/>
      <c r="W39" s="21"/>
      <c r="X39" s="20"/>
      <c r="Y39" s="21"/>
      <c r="Z39" s="20"/>
      <c r="AA39" s="21"/>
    </row>
    <row r="40" spans="2:27" ht="27.75">
      <c r="B40" t="str">
        <v>R2</v>
      </c>
      <c r="C40" t="str">
        <v>♞</v>
      </c>
      <c r="H40" s="21"/>
      <c r="I40" s="20"/>
      <c r="J40" s="21"/>
      <c r="K40" s="20"/>
      <c r="L40" s="21"/>
      <c r="M40" s="20"/>
      <c r="N40" s="21"/>
      <c r="O40" s="20"/>
      <c r="P40" s="21"/>
      <c r="Q40" s="20"/>
      <c r="R40" s="21"/>
      <c r="S40" s="20"/>
      <c r="T40" s="21"/>
      <c r="U40" s="20"/>
      <c r="V40" s="21"/>
      <c r="W40" s="20"/>
      <c r="X40" s="21"/>
      <c r="Y40" s="20"/>
      <c r="Z40" s="21"/>
      <c r="AA40" s="20"/>
    </row>
    <row r="41" spans="2:27" ht="27.75">
      <c r="B41" t="str">
        <v>S2</v>
      </c>
      <c r="C41" t="str">
        <v>♙</v>
      </c>
      <c r="H41" s="20"/>
      <c r="I41" s="21"/>
      <c r="J41" s="20"/>
      <c r="K41" s="21"/>
      <c r="L41" s="20"/>
      <c r="M41" s="21"/>
      <c r="N41" s="20"/>
      <c r="O41" s="21"/>
      <c r="P41" s="20"/>
      <c r="Q41" s="21"/>
      <c r="R41" s="20"/>
      <c r="S41" s="21"/>
      <c r="T41" s="20"/>
      <c r="U41" s="21"/>
      <c r="V41" s="20"/>
      <c r="W41" s="21"/>
      <c r="X41" s="20"/>
      <c r="Y41" s="21"/>
      <c r="Z41" s="20"/>
      <c r="AA41" s="21"/>
    </row>
    <row r="42" spans="2:27" ht="27.75">
      <c r="B42" t="str">
        <v>T2</v>
      </c>
      <c r="C42" t="str">
        <v>♟</v>
      </c>
      <c r="H42" s="21"/>
      <c r="I42" s="20"/>
      <c r="J42" s="21"/>
      <c r="K42" s="20"/>
      <c r="L42" s="21"/>
      <c r="M42" s="20"/>
      <c r="N42" s="21"/>
      <c r="O42" s="20"/>
      <c r="P42" s="21"/>
      <c r="Q42" s="20"/>
      <c r="R42" s="21"/>
      <c r="S42" s="20"/>
      <c r="T42" s="21"/>
      <c r="U42" s="20"/>
      <c r="V42" s="21"/>
      <c r="W42" s="20"/>
      <c r="X42" s="21"/>
      <c r="Y42" s="20"/>
      <c r="Z42" s="21"/>
      <c r="AA42" s="20"/>
    </row>
    <row r="43" spans="2:27" ht="27.75">
      <c r="B43" t="str">
        <v>U2</v>
      </c>
      <c r="C43" t="str">
        <v xml:space="preserve"> </v>
      </c>
      <c r="H43" s="20"/>
      <c r="I43" s="21"/>
      <c r="J43" s="20"/>
      <c r="K43" s="21"/>
      <c r="L43" s="20"/>
      <c r="M43" s="21"/>
      <c r="N43" s="20"/>
      <c r="O43" s="21"/>
      <c r="P43" s="20"/>
      <c r="Q43" s="21"/>
      <c r="R43" s="20"/>
      <c r="S43" s="21"/>
      <c r="T43" s="20"/>
      <c r="U43" s="21"/>
      <c r="V43" s="20"/>
      <c r="W43" s="21"/>
      <c r="X43" s="20"/>
      <c r="Y43" s="21"/>
      <c r="Z43" s="20"/>
      <c r="AA43" s="21"/>
    </row>
    <row r="44" spans="2:27" ht="27.75">
      <c r="B44" t="str">
        <v>B3</v>
      </c>
      <c r="C44" t="str">
        <v xml:space="preserve"> </v>
      </c>
      <c r="H44" s="21"/>
      <c r="I44" s="20"/>
      <c r="J44" s="21"/>
      <c r="K44" s="20"/>
      <c r="L44" s="21"/>
      <c r="M44" s="20"/>
      <c r="N44" s="21"/>
      <c r="O44" s="20"/>
      <c r="P44" s="21"/>
      <c r="Q44" s="20"/>
      <c r="R44" s="21"/>
      <c r="S44" s="20"/>
      <c r="T44" s="21"/>
      <c r="U44" s="20"/>
      <c r="V44" s="21"/>
      <c r="W44" s="20"/>
      <c r="X44" s="21"/>
      <c r="Y44" s="20"/>
      <c r="Z44" s="21"/>
      <c r="AA44" s="20"/>
    </row>
    <row r="45" spans="2:27" ht="27.75">
      <c r="B45" t="str">
        <v>C3</v>
      </c>
      <c r="C45" t="str">
        <v xml:space="preserve"> </v>
      </c>
      <c r="H45" s="20"/>
      <c r="I45" s="21"/>
      <c r="J45" s="20"/>
      <c r="K45" s="21"/>
      <c r="L45" s="20"/>
      <c r="M45" s="21"/>
      <c r="N45" s="20"/>
      <c r="O45" s="21"/>
      <c r="P45" s="20"/>
      <c r="Q45" s="21"/>
      <c r="R45" s="20"/>
      <c r="S45" s="21"/>
      <c r="T45" s="20"/>
      <c r="U45" s="21"/>
      <c r="V45" s="20"/>
      <c r="W45" s="21"/>
      <c r="X45" s="20"/>
      <c r="Y45" s="21"/>
      <c r="Z45" s="20"/>
      <c r="AA45" s="21"/>
    </row>
    <row r="46" spans="2:27" ht="27.75">
      <c r="B46" t="str">
        <v>D3</v>
      </c>
      <c r="C46" t="str">
        <v xml:space="preserve"> </v>
      </c>
      <c r="H46" s="21"/>
      <c r="I46" s="20"/>
      <c r="J46" s="21"/>
      <c r="K46" s="20"/>
      <c r="L46" s="21"/>
      <c r="M46" s="20"/>
      <c r="N46" s="21"/>
      <c r="O46" s="20"/>
      <c r="P46" s="21"/>
      <c r="Q46" s="20"/>
      <c r="R46" s="21"/>
      <c r="S46" s="20"/>
      <c r="T46" s="21"/>
      <c r="U46" s="20"/>
      <c r="V46" s="21"/>
      <c r="W46" s="20"/>
      <c r="X46" s="21"/>
      <c r="Y46" s="20"/>
      <c r="Z46" s="21"/>
      <c r="AA46" s="20"/>
    </row>
    <row r="47" spans="2:27">
      <c r="B47" t="str">
        <v>E3</v>
      </c>
      <c r="C47" t="str">
        <v>♖</v>
      </c>
    </row>
    <row r="48" spans="2:27">
      <c r="B48" t="str">
        <v>F3</v>
      </c>
      <c r="C48" t="str">
        <v xml:space="preserve"> </v>
      </c>
    </row>
    <row r="49" spans="2:3">
      <c r="B49" t="str">
        <v>G3</v>
      </c>
      <c r="C49" t="str">
        <v xml:space="preserve"> </v>
      </c>
    </row>
    <row r="50" spans="2:3">
      <c r="B50" t="str">
        <v>H3</v>
      </c>
      <c r="C50" t="str">
        <v>♟</v>
      </c>
    </row>
    <row r="51" spans="2:3">
      <c r="B51" t="str">
        <v>I3</v>
      </c>
      <c r="C51" t="str">
        <v>♟</v>
      </c>
    </row>
    <row r="52" spans="2:3">
      <c r="B52" t="str">
        <v>J3</v>
      </c>
      <c r="C52" t="str">
        <v>♟</v>
      </c>
    </row>
    <row r="53" spans="2:3">
      <c r="B53" t="str">
        <v>K3</v>
      </c>
      <c r="C53" t="str">
        <v xml:space="preserve"> </v>
      </c>
    </row>
    <row r="54" spans="2:3">
      <c r="B54" t="str">
        <v>L3</v>
      </c>
      <c r="C54" t="str">
        <v xml:space="preserve"> </v>
      </c>
    </row>
    <row r="55" spans="2:3">
      <c r="B55" t="str">
        <v>M3</v>
      </c>
      <c r="C55" t="str">
        <v xml:space="preserve"> </v>
      </c>
    </row>
    <row r="56" spans="2:3">
      <c r="B56" t="str">
        <v>N3</v>
      </c>
      <c r="C56" t="str">
        <v xml:space="preserve"> </v>
      </c>
    </row>
    <row r="57" spans="2:3">
      <c r="B57" t="str">
        <v>O3</v>
      </c>
      <c r="C57" t="str">
        <v xml:space="preserve"> </v>
      </c>
    </row>
    <row r="58" spans="2:3">
      <c r="B58" t="str">
        <v>P3</v>
      </c>
      <c r="C58" t="str">
        <v>♙</v>
      </c>
    </row>
    <row r="59" spans="2:3">
      <c r="B59" t="str">
        <v>Q3</v>
      </c>
      <c r="C59" t="str">
        <v>♙</v>
      </c>
    </row>
    <row r="60" spans="2:3">
      <c r="B60" t="str">
        <v>R3</v>
      </c>
      <c r="C60" t="str">
        <v xml:space="preserve"> </v>
      </c>
    </row>
    <row r="61" spans="2:3">
      <c r="B61" t="str">
        <v>S3</v>
      </c>
      <c r="C61" t="str">
        <v xml:space="preserve"> </v>
      </c>
    </row>
    <row r="62" spans="2:3">
      <c r="B62" t="str">
        <v>T3</v>
      </c>
      <c r="C62" t="str">
        <v xml:space="preserve"> </v>
      </c>
    </row>
    <row r="63" spans="2:3">
      <c r="B63" t="str">
        <v>U3</v>
      </c>
      <c r="C63" t="str">
        <v xml:space="preserve"> </v>
      </c>
    </row>
    <row r="64" spans="2:3">
      <c r="B64" t="str">
        <v>B4</v>
      </c>
      <c r="C64" t="str">
        <v xml:space="preserve"> </v>
      </c>
    </row>
    <row r="65" spans="2:3">
      <c r="B65" t="str">
        <v>C4</v>
      </c>
      <c r="C65" t="str">
        <v>♟</v>
      </c>
    </row>
    <row r="66" spans="2:3">
      <c r="B66" t="str">
        <v>D4</v>
      </c>
      <c r="C66" t="str">
        <v xml:space="preserve"> </v>
      </c>
    </row>
    <row r="67" spans="2:3">
      <c r="B67" t="str">
        <v>E4</v>
      </c>
      <c r="C67" t="str">
        <v>♖</v>
      </c>
    </row>
    <row r="68" spans="2:3">
      <c r="B68" t="str">
        <v>F4</v>
      </c>
      <c r="C68" t="str">
        <v>♙</v>
      </c>
    </row>
    <row r="69" spans="2:3">
      <c r="B69" t="str">
        <v>G4</v>
      </c>
      <c r="C69" t="str">
        <v>♖</v>
      </c>
    </row>
    <row r="70" spans="2:3">
      <c r="B70" t="str">
        <v>H4</v>
      </c>
      <c r="C70" t="str">
        <v xml:space="preserve"> </v>
      </c>
    </row>
    <row r="71" spans="2:3">
      <c r="B71" t="str">
        <v>I4</v>
      </c>
      <c r="C71" t="str">
        <v xml:space="preserve"> </v>
      </c>
    </row>
    <row r="72" spans="2:3">
      <c r="B72" t="str">
        <v>J4</v>
      </c>
      <c r="C72" t="str">
        <v xml:space="preserve"> </v>
      </c>
    </row>
    <row r="73" spans="2:3">
      <c r="B73" t="str">
        <v>K4</v>
      </c>
      <c r="C73" t="str">
        <v>♗</v>
      </c>
    </row>
    <row r="74" spans="2:3">
      <c r="B74" t="str">
        <v>L4</v>
      </c>
      <c r="C74" t="str">
        <v>♙</v>
      </c>
    </row>
    <row r="75" spans="2:3">
      <c r="B75" t="str">
        <v>M4</v>
      </c>
      <c r="C75" t="str">
        <v xml:space="preserve"> </v>
      </c>
    </row>
    <row r="76" spans="2:3">
      <c r="B76" t="str">
        <v>N4</v>
      </c>
      <c r="C76" t="str">
        <v>♙</v>
      </c>
    </row>
    <row r="77" spans="2:3">
      <c r="B77" t="str">
        <v>O4</v>
      </c>
      <c r="C77" t="str">
        <v xml:space="preserve"> </v>
      </c>
    </row>
    <row r="78" spans="2:3">
      <c r="B78" t="str">
        <v>P4</v>
      </c>
      <c r="C78" t="str">
        <v xml:space="preserve"> </v>
      </c>
    </row>
    <row r="79" spans="2:3">
      <c r="B79" t="str">
        <v>Q4</v>
      </c>
      <c r="C79" t="str">
        <v xml:space="preserve"> </v>
      </c>
    </row>
    <row r="80" spans="2:3">
      <c r="B80" t="str">
        <v>R4</v>
      </c>
      <c r="C80" t="str">
        <v>♝</v>
      </c>
    </row>
    <row r="81" spans="2:3">
      <c r="B81" t="str">
        <v>S4</v>
      </c>
      <c r="C81" t="str">
        <v xml:space="preserve"> </v>
      </c>
    </row>
    <row r="82" spans="2:3">
      <c r="B82" t="str">
        <v>T4</v>
      </c>
      <c r="C82" t="str">
        <v>♙</v>
      </c>
    </row>
    <row r="83" spans="2:3">
      <c r="B83" t="str">
        <v>U4</v>
      </c>
      <c r="C83" t="str">
        <v xml:space="preserve"> </v>
      </c>
    </row>
    <row r="84" spans="2:3">
      <c r="B84" t="str">
        <v>B5</v>
      </c>
      <c r="C84" t="str">
        <v xml:space="preserve"> </v>
      </c>
    </row>
    <row r="85" spans="2:3">
      <c r="B85" t="str">
        <v>C5</v>
      </c>
      <c r="C85" t="str">
        <v xml:space="preserve"> </v>
      </c>
    </row>
    <row r="86" spans="2:3">
      <c r="B86" t="str">
        <v>D5</v>
      </c>
      <c r="C86" t="str">
        <v>♘</v>
      </c>
    </row>
    <row r="87" spans="2:3">
      <c r="B87" t="str">
        <v>E5</v>
      </c>
      <c r="C87" t="str">
        <v xml:space="preserve"> </v>
      </c>
    </row>
    <row r="88" spans="2:3">
      <c r="B88" t="str">
        <v>F5</v>
      </c>
      <c r="C88" t="str">
        <v>♟</v>
      </c>
    </row>
    <row r="89" spans="2:3">
      <c r="B89" t="str">
        <v>G5</v>
      </c>
      <c r="C89" t="str">
        <v xml:space="preserve"> </v>
      </c>
    </row>
    <row r="90" spans="2:3">
      <c r="B90" t="str">
        <v>H5</v>
      </c>
      <c r="C90" t="str">
        <v>♙</v>
      </c>
    </row>
    <row r="91" spans="2:3">
      <c r="B91" t="str">
        <v>I5</v>
      </c>
      <c r="C91" t="str">
        <v xml:space="preserve"> </v>
      </c>
    </row>
    <row r="92" spans="2:3">
      <c r="B92" t="str">
        <v>J5</v>
      </c>
      <c r="C92" t="str">
        <v xml:space="preserve"> </v>
      </c>
    </row>
    <row r="93" spans="2:3">
      <c r="B93" t="str">
        <v>K5</v>
      </c>
      <c r="C93" t="str">
        <v xml:space="preserve"> </v>
      </c>
    </row>
    <row r="94" spans="2:3">
      <c r="B94" t="str">
        <v>L5</v>
      </c>
      <c r="C94" t="str">
        <v xml:space="preserve"> </v>
      </c>
    </row>
    <row r="95" spans="2:3">
      <c r="B95" t="str">
        <v>M5</v>
      </c>
      <c r="C95" t="str">
        <v>♙</v>
      </c>
    </row>
    <row r="96" spans="2:3">
      <c r="B96" t="str">
        <v>N5</v>
      </c>
      <c r="C96" t="str">
        <v>♘</v>
      </c>
    </row>
    <row r="97" spans="2:3">
      <c r="B97" t="str">
        <v>O5</v>
      </c>
      <c r="C97" t="str">
        <v xml:space="preserve"> </v>
      </c>
    </row>
    <row r="98" spans="2:3">
      <c r="B98" t="str">
        <v>P5</v>
      </c>
      <c r="C98" t="str">
        <v xml:space="preserve"> </v>
      </c>
    </row>
    <row r="99" spans="2:3">
      <c r="B99" t="str">
        <v>Q5</v>
      </c>
      <c r="C99" t="str">
        <v xml:space="preserve"> </v>
      </c>
    </row>
    <row r="100" spans="2:3">
      <c r="B100" t="str">
        <v>R5</v>
      </c>
      <c r="C100" t="str">
        <v>♖</v>
      </c>
    </row>
    <row r="101" spans="2:3">
      <c r="B101" t="str">
        <v>S5</v>
      </c>
      <c r="C101" t="str">
        <v xml:space="preserve"> </v>
      </c>
    </row>
    <row r="102" spans="2:3">
      <c r="B102" t="str">
        <v>T5</v>
      </c>
      <c r="C102" t="str">
        <v>♟</v>
      </c>
    </row>
    <row r="103" spans="2:3">
      <c r="B103" t="str">
        <v>U5</v>
      </c>
      <c r="C103" t="str">
        <v xml:space="preserve"> </v>
      </c>
    </row>
    <row r="104" spans="2:3">
      <c r="B104" t="str">
        <v>B6</v>
      </c>
      <c r="C104" t="str">
        <v>♟</v>
      </c>
    </row>
    <row r="105" spans="2:3">
      <c r="B105" t="str">
        <v>C6</v>
      </c>
      <c r="C105" t="str">
        <v>♖</v>
      </c>
    </row>
    <row r="106" spans="2:3">
      <c r="B106" t="str">
        <v>D6</v>
      </c>
      <c r="C106" t="str">
        <v xml:space="preserve"> </v>
      </c>
    </row>
    <row r="107" spans="2:3">
      <c r="B107" t="str">
        <v>E6</v>
      </c>
      <c r="C107" t="str">
        <v>♙</v>
      </c>
    </row>
    <row r="108" spans="2:3">
      <c r="B108" t="str">
        <v>F6</v>
      </c>
      <c r="C108" t="str">
        <v xml:space="preserve"> </v>
      </c>
    </row>
    <row r="109" spans="2:3">
      <c r="B109" t="str">
        <v>G6</v>
      </c>
      <c r="C109" t="str">
        <v xml:space="preserve"> </v>
      </c>
    </row>
    <row r="110" spans="2:3">
      <c r="B110" t="str">
        <v>H6</v>
      </c>
      <c r="C110" t="str">
        <v>♘</v>
      </c>
    </row>
    <row r="111" spans="2:3">
      <c r="B111" t="str">
        <v>I6</v>
      </c>
      <c r="C111" t="str">
        <v xml:space="preserve"> </v>
      </c>
    </row>
    <row r="112" spans="2:3">
      <c r="B112" t="str">
        <v>J6</v>
      </c>
      <c r="C112" t="str">
        <v>♙</v>
      </c>
    </row>
    <row r="113" spans="2:3">
      <c r="B113" t="str">
        <v>K6</v>
      </c>
      <c r="C113" t="str">
        <v>♗</v>
      </c>
    </row>
    <row r="114" spans="2:3">
      <c r="B114" t="str">
        <v>L6</v>
      </c>
      <c r="C114" t="str">
        <v xml:space="preserve"> </v>
      </c>
    </row>
    <row r="115" spans="2:3">
      <c r="B115" t="str">
        <v>M6</v>
      </c>
      <c r="C115" t="str">
        <v xml:space="preserve"> </v>
      </c>
    </row>
    <row r="116" spans="2:3">
      <c r="B116" t="str">
        <v>N6</v>
      </c>
      <c r="C116" t="str">
        <v xml:space="preserve"> </v>
      </c>
    </row>
    <row r="117" spans="2:3">
      <c r="B117" t="str">
        <v>O6</v>
      </c>
      <c r="C117" t="str">
        <v>♗</v>
      </c>
    </row>
    <row r="118" spans="2:3">
      <c r="B118" t="str">
        <v>P6</v>
      </c>
      <c r="C118" t="str">
        <v>♟</v>
      </c>
    </row>
    <row r="119" spans="2:3">
      <c r="B119" t="str">
        <v>Q6</v>
      </c>
      <c r="C119" t="str">
        <v xml:space="preserve"> </v>
      </c>
    </row>
    <row r="120" spans="2:3">
      <c r="B120" t="str">
        <v>R6</v>
      </c>
      <c r="C120" t="str">
        <v>♜</v>
      </c>
    </row>
    <row r="121" spans="2:3">
      <c r="B121" t="str">
        <v>S6</v>
      </c>
      <c r="C121" t="str">
        <v xml:space="preserve"> </v>
      </c>
    </row>
    <row r="122" spans="2:3">
      <c r="B122" t="str">
        <v>T6</v>
      </c>
      <c r="C122" t="str">
        <v>♟</v>
      </c>
    </row>
    <row r="123" spans="2:3">
      <c r="B123" t="str">
        <v>U6</v>
      </c>
      <c r="C123" t="str">
        <v xml:space="preserve"> </v>
      </c>
    </row>
    <row r="124" spans="2:3">
      <c r="B124" t="str">
        <v>B7</v>
      </c>
      <c r="C124" t="str">
        <v xml:space="preserve"> </v>
      </c>
    </row>
    <row r="125" spans="2:3">
      <c r="B125" t="str">
        <v>C7</v>
      </c>
      <c r="C125" t="str">
        <v xml:space="preserve"> </v>
      </c>
    </row>
    <row r="126" spans="2:3">
      <c r="B126" t="str">
        <v>D7</v>
      </c>
      <c r="C126" t="str">
        <v xml:space="preserve"> </v>
      </c>
    </row>
    <row r="127" spans="2:3">
      <c r="B127" t="str">
        <v>E7</v>
      </c>
      <c r="C127" t="str">
        <v>♘</v>
      </c>
    </row>
    <row r="128" spans="2:3">
      <c r="B128" t="str">
        <v>F7</v>
      </c>
      <c r="C128" t="str">
        <v xml:space="preserve"> </v>
      </c>
    </row>
    <row r="129" spans="2:3">
      <c r="B129" t="str">
        <v>G7</v>
      </c>
      <c r="C129" t="str">
        <v>♙</v>
      </c>
    </row>
    <row r="130" spans="2:3">
      <c r="B130" t="str">
        <v>H7</v>
      </c>
      <c r="C130" t="str">
        <v>♞</v>
      </c>
    </row>
    <row r="131" spans="2:3">
      <c r="B131" t="str">
        <v>I7</v>
      </c>
      <c r="C131" t="str">
        <v>♞</v>
      </c>
    </row>
    <row r="132" spans="2:3">
      <c r="B132" t="str">
        <v>J7</v>
      </c>
      <c r="C132" t="str">
        <v xml:space="preserve"> </v>
      </c>
    </row>
    <row r="133" spans="2:3">
      <c r="B133" t="str">
        <v>K7</v>
      </c>
      <c r="C133" t="str">
        <v xml:space="preserve"> </v>
      </c>
    </row>
    <row r="134" spans="2:3">
      <c r="B134" t="str">
        <v>L7</v>
      </c>
      <c r="C134" t="str">
        <v xml:space="preserve"> </v>
      </c>
    </row>
    <row r="135" spans="2:3">
      <c r="B135" t="str">
        <v>M7</v>
      </c>
      <c r="C135" t="str">
        <v>♗</v>
      </c>
    </row>
    <row r="136" spans="2:3">
      <c r="B136" t="str">
        <v>N7</v>
      </c>
      <c r="C136" t="str">
        <v>♙</v>
      </c>
    </row>
    <row r="137" spans="2:3">
      <c r="B137" t="str">
        <v>O7</v>
      </c>
      <c r="C137" t="str">
        <v xml:space="preserve"> </v>
      </c>
    </row>
    <row r="138" spans="2:3">
      <c r="B138" t="str">
        <v>P7</v>
      </c>
      <c r="C138" t="str">
        <v>♝</v>
      </c>
    </row>
    <row r="139" spans="2:3">
      <c r="B139" t="str">
        <v>Q7</v>
      </c>
      <c r="C139" t="str">
        <v xml:space="preserve"> </v>
      </c>
    </row>
    <row r="140" spans="2:3">
      <c r="B140" t="str">
        <v>R7</v>
      </c>
      <c r="C140" t="str">
        <v>♙</v>
      </c>
    </row>
    <row r="141" spans="2:3">
      <c r="B141" t="str">
        <v>S7</v>
      </c>
      <c r="C141" t="str">
        <v xml:space="preserve"> </v>
      </c>
    </row>
    <row r="142" spans="2:3">
      <c r="B142" t="str">
        <v>T7</v>
      </c>
      <c r="C142" t="str">
        <v xml:space="preserve"> </v>
      </c>
    </row>
    <row r="143" spans="2:3">
      <c r="B143" t="str">
        <v>U7</v>
      </c>
      <c r="C143" t="str">
        <v>♙</v>
      </c>
    </row>
    <row r="144" spans="2:3">
      <c r="B144" t="str">
        <v>B8</v>
      </c>
      <c r="C144" t="str">
        <v>♟</v>
      </c>
    </row>
    <row r="145" spans="2:3">
      <c r="B145" t="str">
        <v>C8</v>
      </c>
      <c r="C145" t="str">
        <v>♛</v>
      </c>
    </row>
    <row r="146" spans="2:3">
      <c r="B146" t="str">
        <v>D8</v>
      </c>
      <c r="C146" t="str">
        <v>♗</v>
      </c>
    </row>
    <row r="147" spans="2:3">
      <c r="B147" t="str">
        <v>E8</v>
      </c>
      <c r="C147" t="str">
        <v xml:space="preserve"> </v>
      </c>
    </row>
    <row r="148" spans="2:3">
      <c r="B148" t="str">
        <v>F8</v>
      </c>
      <c r="C148" t="str">
        <v>♞</v>
      </c>
    </row>
    <row r="149" spans="2:3">
      <c r="B149" t="str">
        <v>G8</v>
      </c>
      <c r="C149" t="str">
        <v xml:space="preserve"> </v>
      </c>
    </row>
    <row r="150" spans="2:3">
      <c r="B150" t="str">
        <v>H8</v>
      </c>
      <c r="C150" t="str">
        <v xml:space="preserve"> </v>
      </c>
    </row>
    <row r="151" spans="2:3">
      <c r="B151" t="str">
        <v>I8</v>
      </c>
      <c r="C151" t="str">
        <v xml:space="preserve"> </v>
      </c>
    </row>
    <row r="152" spans="2:3">
      <c r="B152" t="str">
        <v>J8</v>
      </c>
      <c r="C152" t="str">
        <v>♝</v>
      </c>
    </row>
    <row r="153" spans="2:3">
      <c r="B153" t="str">
        <v>K8</v>
      </c>
      <c r="C153" t="str">
        <v xml:space="preserve"> </v>
      </c>
    </row>
    <row r="154" spans="2:3">
      <c r="B154" t="str">
        <v>L8</v>
      </c>
      <c r="C154" t="str">
        <v>♙</v>
      </c>
    </row>
    <row r="155" spans="2:3">
      <c r="B155" t="str">
        <v>M8</v>
      </c>
      <c r="C155" t="str">
        <v>♗</v>
      </c>
    </row>
    <row r="156" spans="2:3">
      <c r="B156" t="str">
        <v>N8</v>
      </c>
      <c r="C156" t="str">
        <v>♜</v>
      </c>
    </row>
    <row r="157" spans="2:3">
      <c r="B157" t="str">
        <v>O8</v>
      </c>
      <c r="C157" t="str">
        <v>♜</v>
      </c>
    </row>
    <row r="158" spans="2:3">
      <c r="B158" t="str">
        <v>P8</v>
      </c>
      <c r="C158" t="str">
        <v>♗</v>
      </c>
    </row>
    <row r="159" spans="2:3">
      <c r="B159" t="str">
        <v>Q8</v>
      </c>
      <c r="C159" t="str">
        <v>♗</v>
      </c>
    </row>
    <row r="160" spans="2:3">
      <c r="B160" t="str">
        <v>R8</v>
      </c>
      <c r="C160" t="str">
        <v>♞</v>
      </c>
    </row>
    <row r="161" spans="2:3">
      <c r="B161" t="str">
        <v>S8</v>
      </c>
      <c r="C161" t="str">
        <v>♟</v>
      </c>
    </row>
    <row r="162" spans="2:3">
      <c r="B162" t="str">
        <v>T8</v>
      </c>
      <c r="C162" t="str">
        <v>♟</v>
      </c>
    </row>
    <row r="163" spans="2:3">
      <c r="B163" t="str">
        <v>U8</v>
      </c>
      <c r="C163" t="str">
        <v>♙</v>
      </c>
    </row>
    <row r="164" spans="2:3">
      <c r="B164" t="str">
        <v>B9</v>
      </c>
      <c r="C164" t="str">
        <v xml:space="preserve"> </v>
      </c>
    </row>
    <row r="165" spans="2:3">
      <c r="B165" t="str">
        <v>C9</v>
      </c>
      <c r="C165" t="str">
        <v>♝</v>
      </c>
    </row>
    <row r="166" spans="2:3">
      <c r="B166" t="str">
        <v>D9</v>
      </c>
      <c r="C166" t="str">
        <v>♞</v>
      </c>
    </row>
    <row r="167" spans="2:3">
      <c r="B167" t="str">
        <v>E9</v>
      </c>
      <c r="C167" t="str">
        <v>♝</v>
      </c>
    </row>
    <row r="168" spans="2:3">
      <c r="B168" t="str">
        <v>F9</v>
      </c>
      <c r="C168" t="str">
        <v xml:space="preserve"> </v>
      </c>
    </row>
    <row r="169" spans="2:3">
      <c r="B169" t="str">
        <v>G9</v>
      </c>
      <c r="C169" t="str">
        <v xml:space="preserve"> </v>
      </c>
    </row>
    <row r="170" spans="2:3">
      <c r="B170" t="str">
        <v>H9</v>
      </c>
      <c r="C170" t="str">
        <v>♟</v>
      </c>
    </row>
    <row r="171" spans="2:3">
      <c r="B171" t="str">
        <v>I9</v>
      </c>
      <c r="C171" t="str">
        <v>♙</v>
      </c>
    </row>
    <row r="172" spans="2:3">
      <c r="B172" t="str">
        <v>J9</v>
      </c>
      <c r="C172" t="str">
        <v>♕</v>
      </c>
    </row>
    <row r="173" spans="2:3">
      <c r="B173" t="str">
        <v>K9</v>
      </c>
      <c r="C173" t="str">
        <v xml:space="preserve"> </v>
      </c>
    </row>
    <row r="174" spans="2:3">
      <c r="B174" t="str">
        <v>L9</v>
      </c>
      <c r="C174" t="str">
        <v>♟</v>
      </c>
    </row>
    <row r="175" spans="2:3">
      <c r="B175" t="str">
        <v>M9</v>
      </c>
      <c r="C175" t="str">
        <v xml:space="preserve"> </v>
      </c>
    </row>
    <row r="176" spans="2:3">
      <c r="B176" t="str">
        <v>N9</v>
      </c>
      <c r="C176" t="str">
        <v xml:space="preserve"> </v>
      </c>
    </row>
    <row r="177" spans="2:3">
      <c r="B177" t="str">
        <v>O9</v>
      </c>
      <c r="C177" t="str">
        <v xml:space="preserve"> </v>
      </c>
    </row>
    <row r="178" spans="2:3">
      <c r="B178" t="str">
        <v>P9</v>
      </c>
      <c r="C178" t="str">
        <v>♟</v>
      </c>
    </row>
    <row r="179" spans="2:3">
      <c r="B179" t="str">
        <v>Q9</v>
      </c>
      <c r="C179" t="str">
        <v xml:space="preserve"> </v>
      </c>
    </row>
    <row r="180" spans="2:3">
      <c r="B180" t="str">
        <v>R9</v>
      </c>
      <c r="C180" t="str">
        <v xml:space="preserve"> </v>
      </c>
    </row>
    <row r="181" spans="2:3">
      <c r="B181" t="str">
        <v>S9</v>
      </c>
      <c r="C181" t="str">
        <v xml:space="preserve"> </v>
      </c>
    </row>
    <row r="182" spans="2:3">
      <c r="B182" t="str">
        <v>T9</v>
      </c>
      <c r="C182" t="str">
        <v>♝</v>
      </c>
    </row>
    <row r="183" spans="2:3">
      <c r="B183" t="str">
        <v>U9</v>
      </c>
      <c r="C183" t="str">
        <v xml:space="preserve"> </v>
      </c>
    </row>
    <row r="184" spans="2:3">
      <c r="B184" t="str">
        <v>B10</v>
      </c>
      <c r="C184" t="str">
        <v xml:space="preserve"> </v>
      </c>
    </row>
    <row r="185" spans="2:3">
      <c r="B185" t="str">
        <v>C10</v>
      </c>
      <c r="C185" t="str">
        <v>♟</v>
      </c>
    </row>
    <row r="186" spans="2:3">
      <c r="B186" t="str">
        <v>D10</v>
      </c>
      <c r="C186" t="str">
        <v>♟</v>
      </c>
    </row>
    <row r="187" spans="2:3">
      <c r="B187" t="str">
        <v>E10</v>
      </c>
      <c r="C187" t="str">
        <v xml:space="preserve"> </v>
      </c>
    </row>
    <row r="188" spans="2:3">
      <c r="B188" t="str">
        <v>F10</v>
      </c>
      <c r="C188" t="str">
        <v>♖</v>
      </c>
    </row>
    <row r="189" spans="2:3">
      <c r="B189" t="str">
        <v>G10</v>
      </c>
      <c r="C189" t="str">
        <v>♙</v>
      </c>
    </row>
    <row r="190" spans="2:3">
      <c r="B190" t="str">
        <v>H10</v>
      </c>
      <c r="C190" t="str">
        <v>♟</v>
      </c>
    </row>
    <row r="191" spans="2:3">
      <c r="B191" t="str">
        <v>I10</v>
      </c>
      <c r="C191" t="str">
        <v>♗</v>
      </c>
    </row>
    <row r="192" spans="2:3">
      <c r="B192" t="str">
        <v>J10</v>
      </c>
      <c r="C192" t="str">
        <v>♙</v>
      </c>
    </row>
    <row r="193" spans="2:3">
      <c r="B193" t="str">
        <v>K10</v>
      </c>
      <c r="C193" t="str">
        <v>♝</v>
      </c>
    </row>
    <row r="194" spans="2:3">
      <c r="B194" t="str">
        <v>L10</v>
      </c>
      <c r="C194" t="str">
        <v xml:space="preserve"> </v>
      </c>
    </row>
    <row r="195" spans="2:3">
      <c r="B195" t="str">
        <v>M10</v>
      </c>
      <c r="C195" t="str">
        <v xml:space="preserve"> </v>
      </c>
    </row>
    <row r="196" spans="2:3">
      <c r="B196" t="str">
        <v>N10</v>
      </c>
      <c r="C196" t="str">
        <v>♝</v>
      </c>
    </row>
    <row r="197" spans="2:3">
      <c r="B197" t="str">
        <v>O10</v>
      </c>
      <c r="C197" t="str">
        <v>♜</v>
      </c>
    </row>
    <row r="198" spans="2:3">
      <c r="B198" t="str">
        <v>P10</v>
      </c>
      <c r="C198" t="str">
        <v>♖</v>
      </c>
    </row>
    <row r="199" spans="2:3">
      <c r="B199" t="str">
        <v>Q10</v>
      </c>
      <c r="C199" t="str">
        <v>♟</v>
      </c>
    </row>
    <row r="200" spans="2:3">
      <c r="B200" t="str">
        <v>R10</v>
      </c>
      <c r="C200" t="str">
        <v>♘</v>
      </c>
    </row>
    <row r="201" spans="2:3">
      <c r="B201" t="str">
        <v>S10</v>
      </c>
      <c r="C201" t="str">
        <v xml:space="preserve"> </v>
      </c>
    </row>
    <row r="202" spans="2:3">
      <c r="B202" t="str">
        <v>T10</v>
      </c>
      <c r="C202" t="str">
        <v xml:space="preserve"> </v>
      </c>
    </row>
    <row r="203" spans="2:3">
      <c r="B203" t="str">
        <v>U10</v>
      </c>
      <c r="C203" t="str">
        <v>♜</v>
      </c>
    </row>
    <row r="204" spans="2:3">
      <c r="B204" t="str">
        <v>B11</v>
      </c>
      <c r="C204" t="str">
        <v xml:space="preserve"> </v>
      </c>
    </row>
    <row r="205" spans="2:3">
      <c r="B205" t="str">
        <v>C11</v>
      </c>
      <c r="C205" t="str">
        <v xml:space="preserve"> </v>
      </c>
    </row>
    <row r="206" spans="2:3">
      <c r="B206" t="str">
        <v>D11</v>
      </c>
      <c r="C206" t="str">
        <v>♙</v>
      </c>
    </row>
    <row r="207" spans="2:3">
      <c r="B207" t="str">
        <v>E11</v>
      </c>
      <c r="C207" t="str">
        <v xml:space="preserve"> </v>
      </c>
    </row>
    <row r="208" spans="2:3">
      <c r="B208" t="str">
        <v>F11</v>
      </c>
      <c r="C208" t="str">
        <v>♟</v>
      </c>
    </row>
    <row r="209" spans="2:3">
      <c r="B209" t="str">
        <v>G11</v>
      </c>
      <c r="C209" t="str">
        <v xml:space="preserve"> </v>
      </c>
    </row>
    <row r="210" spans="2:3">
      <c r="B210" t="str">
        <v>H11</v>
      </c>
      <c r="C210" t="str">
        <v xml:space="preserve"> </v>
      </c>
    </row>
    <row r="211" spans="2:3">
      <c r="B211" t="str">
        <v>I11</v>
      </c>
      <c r="C211" t="str">
        <v xml:space="preserve"> </v>
      </c>
    </row>
    <row r="212" spans="2:3">
      <c r="B212" t="str">
        <v>J11</v>
      </c>
      <c r="C212" t="str">
        <v>♞</v>
      </c>
    </row>
    <row r="213" spans="2:3">
      <c r="B213" t="str">
        <v>K11</v>
      </c>
      <c r="C213" t="str">
        <v>♙</v>
      </c>
    </row>
    <row r="214" spans="2:3">
      <c r="B214" t="str">
        <v>L11</v>
      </c>
      <c r="C214" t="str">
        <v>♙</v>
      </c>
    </row>
    <row r="215" spans="2:3">
      <c r="B215" t="str">
        <v>M11</v>
      </c>
      <c r="C215" t="str">
        <v xml:space="preserve"> </v>
      </c>
    </row>
    <row r="216" spans="2:3">
      <c r="B216" t="str">
        <v>N11</v>
      </c>
      <c r="C216" t="str">
        <v xml:space="preserve"> </v>
      </c>
    </row>
    <row r="217" spans="2:3">
      <c r="B217" t="str">
        <v>O11</v>
      </c>
      <c r="C217" t="str">
        <v>♙</v>
      </c>
    </row>
    <row r="218" spans="2:3">
      <c r="B218" t="str">
        <v>P11</v>
      </c>
      <c r="C218" t="str">
        <v xml:space="preserve"> </v>
      </c>
    </row>
    <row r="219" spans="2:3">
      <c r="B219" t="str">
        <v>Q11</v>
      </c>
      <c r="C219" t="str">
        <v>♜</v>
      </c>
    </row>
    <row r="220" spans="2:3">
      <c r="B220" t="str">
        <v>R11</v>
      </c>
      <c r="C220" t="str">
        <v xml:space="preserve"> </v>
      </c>
    </row>
    <row r="221" spans="2:3">
      <c r="B221" t="str">
        <v>S11</v>
      </c>
      <c r="C221" t="str">
        <v xml:space="preserve"> </v>
      </c>
    </row>
    <row r="222" spans="2:3">
      <c r="B222" t="str">
        <v>T11</v>
      </c>
      <c r="C222" t="str">
        <v>♟</v>
      </c>
    </row>
    <row r="223" spans="2:3">
      <c r="B223" t="str">
        <v>U11</v>
      </c>
      <c r="C223" t="str">
        <v xml:space="preserve"> </v>
      </c>
    </row>
    <row r="224" spans="2:3">
      <c r="B224" t="str">
        <v>B12</v>
      </c>
      <c r="C224" t="str">
        <v>♗</v>
      </c>
    </row>
    <row r="225" spans="2:3">
      <c r="B225" t="str">
        <v>C12</v>
      </c>
      <c r="C225" t="str">
        <v xml:space="preserve"> </v>
      </c>
    </row>
    <row r="226" spans="2:3">
      <c r="B226" t="str">
        <v>D12</v>
      </c>
      <c r="C226" t="str">
        <v xml:space="preserve"> </v>
      </c>
    </row>
    <row r="227" spans="2:3">
      <c r="B227" t="str">
        <v>E12</v>
      </c>
      <c r="C227" t="str">
        <v xml:space="preserve"> </v>
      </c>
    </row>
    <row r="228" spans="2:3">
      <c r="B228" t="str">
        <v>F12</v>
      </c>
      <c r="C228" t="str">
        <v>♟</v>
      </c>
    </row>
    <row r="229" spans="2:3">
      <c r="B229" t="str">
        <v>G12</v>
      </c>
      <c r="C229" t="str">
        <v>♖</v>
      </c>
    </row>
    <row r="230" spans="2:3">
      <c r="B230" t="str">
        <v>H12</v>
      </c>
      <c r="C230" t="str">
        <v>♜</v>
      </c>
    </row>
    <row r="231" spans="2:3">
      <c r="B231" t="str">
        <v>I12</v>
      </c>
      <c r="C231" t="str">
        <v>♟</v>
      </c>
    </row>
    <row r="232" spans="2:3">
      <c r="B232" t="str">
        <v>J12</v>
      </c>
      <c r="C232" t="str">
        <v xml:space="preserve"> </v>
      </c>
    </row>
    <row r="233" spans="2:3">
      <c r="B233" t="str">
        <v>K12</v>
      </c>
      <c r="C233" t="str">
        <v>♝</v>
      </c>
    </row>
    <row r="234" spans="2:3">
      <c r="B234" t="str">
        <v>L12</v>
      </c>
      <c r="C234" t="str">
        <v xml:space="preserve"> </v>
      </c>
    </row>
    <row r="235" spans="2:3">
      <c r="B235" t="str">
        <v>M12</v>
      </c>
      <c r="C235" t="str">
        <v xml:space="preserve"> </v>
      </c>
    </row>
    <row r="236" spans="2:3">
      <c r="B236" t="str">
        <v>N12</v>
      </c>
      <c r="C236" t="str">
        <v>♟</v>
      </c>
    </row>
    <row r="237" spans="2:3">
      <c r="B237" t="str">
        <v>O12</v>
      </c>
      <c r="C237" t="str">
        <v>♝</v>
      </c>
    </row>
    <row r="238" spans="2:3">
      <c r="B238" t="str">
        <v>P12</v>
      </c>
      <c r="C238" t="str">
        <v xml:space="preserve"> </v>
      </c>
    </row>
    <row r="239" spans="2:3">
      <c r="B239" t="str">
        <v>Q12</v>
      </c>
      <c r="C239" t="str">
        <v>♜</v>
      </c>
    </row>
    <row r="240" spans="2:3">
      <c r="B240" t="str">
        <v>R12</v>
      </c>
      <c r="C240" t="str">
        <v>♟</v>
      </c>
    </row>
    <row r="241" spans="2:3">
      <c r="B241" t="str">
        <v>S12</v>
      </c>
      <c r="C241" t="str">
        <v>♟</v>
      </c>
    </row>
    <row r="242" spans="2:3">
      <c r="B242" t="str">
        <v>T12</v>
      </c>
      <c r="C242" t="str">
        <v>♟</v>
      </c>
    </row>
    <row r="243" spans="2:3">
      <c r="B243" t="str">
        <v>U12</v>
      </c>
      <c r="C243" t="str">
        <v xml:space="preserve"> </v>
      </c>
    </row>
    <row r="244" spans="2:3">
      <c r="B244" t="str">
        <v>B13</v>
      </c>
      <c r="C244" t="str">
        <v xml:space="preserve"> </v>
      </c>
    </row>
    <row r="245" spans="2:3">
      <c r="B245" t="str">
        <v>C13</v>
      </c>
      <c r="C245" t="str">
        <v xml:space="preserve"> </v>
      </c>
    </row>
    <row r="246" spans="2:3">
      <c r="B246" t="str">
        <v>D13</v>
      </c>
      <c r="C246" t="str">
        <v>♙</v>
      </c>
    </row>
    <row r="247" spans="2:3">
      <c r="B247" t="str">
        <v>E13</v>
      </c>
      <c r="C247" t="str">
        <v>♗</v>
      </c>
    </row>
    <row r="248" spans="2:3">
      <c r="B248" t="str">
        <v>F13</v>
      </c>
      <c r="C248" t="str">
        <v>♜</v>
      </c>
    </row>
    <row r="249" spans="2:3">
      <c r="B249" t="str">
        <v>G13</v>
      </c>
      <c r="C249" t="str">
        <v xml:space="preserve"> </v>
      </c>
    </row>
    <row r="250" spans="2:3">
      <c r="B250" t="str">
        <v>H13</v>
      </c>
      <c r="C250" t="str">
        <v>♝</v>
      </c>
    </row>
    <row r="251" spans="2:3">
      <c r="B251" t="str">
        <v>I13</v>
      </c>
      <c r="C251" t="str">
        <v xml:space="preserve"> </v>
      </c>
    </row>
    <row r="252" spans="2:3">
      <c r="B252" t="str">
        <v>J13</v>
      </c>
      <c r="C252" t="str">
        <v xml:space="preserve"> </v>
      </c>
    </row>
    <row r="253" spans="2:3">
      <c r="B253" t="str">
        <v>K13</v>
      </c>
      <c r="C253" t="str">
        <v xml:space="preserve"> </v>
      </c>
    </row>
    <row r="254" spans="2:3">
      <c r="B254" t="str">
        <v>L13</v>
      </c>
      <c r="C254" t="str">
        <v xml:space="preserve"> </v>
      </c>
    </row>
    <row r="255" spans="2:3">
      <c r="B255" t="str">
        <v>M13</v>
      </c>
      <c r="C255" t="str">
        <v xml:space="preserve"> </v>
      </c>
    </row>
    <row r="256" spans="2:3">
      <c r="B256" t="str">
        <v>N13</v>
      </c>
      <c r="C256" t="str">
        <v>♞</v>
      </c>
    </row>
    <row r="257" spans="2:3">
      <c r="B257" t="str">
        <v>O13</v>
      </c>
      <c r="C257" t="str">
        <v>♞</v>
      </c>
    </row>
    <row r="258" spans="2:3">
      <c r="B258" t="str">
        <v>P13</v>
      </c>
      <c r="C258" t="str">
        <v xml:space="preserve"> </v>
      </c>
    </row>
    <row r="259" spans="2:3">
      <c r="B259" t="str">
        <v>Q13</v>
      </c>
      <c r="C259" t="str">
        <v xml:space="preserve"> </v>
      </c>
    </row>
    <row r="260" spans="2:3">
      <c r="B260" t="str">
        <v>R13</v>
      </c>
      <c r="C260" t="str">
        <v>♗</v>
      </c>
    </row>
    <row r="261" spans="2:3">
      <c r="B261" t="str">
        <v>S13</v>
      </c>
      <c r="C261" t="str">
        <v>♘</v>
      </c>
    </row>
    <row r="262" spans="2:3">
      <c r="B262" t="str">
        <v>T13</v>
      </c>
      <c r="C262" t="str">
        <v xml:space="preserve"> </v>
      </c>
    </row>
    <row r="263" spans="2:3">
      <c r="B263" t="str">
        <v>U13</v>
      </c>
      <c r="C263" t="str">
        <v>♗</v>
      </c>
    </row>
    <row r="264" spans="2:3">
      <c r="B264" t="str">
        <v>B14</v>
      </c>
      <c r="C264" t="str">
        <v>♞</v>
      </c>
    </row>
    <row r="265" spans="2:3">
      <c r="B265" t="str">
        <v>C14</v>
      </c>
      <c r="C265" t="str">
        <v>♟</v>
      </c>
    </row>
    <row r="266" spans="2:3">
      <c r="B266" t="str">
        <v>D14</v>
      </c>
      <c r="C266" t="str">
        <v xml:space="preserve"> </v>
      </c>
    </row>
    <row r="267" spans="2:3">
      <c r="B267" t="str">
        <v>E14</v>
      </c>
      <c r="C267" t="str">
        <v xml:space="preserve"> </v>
      </c>
    </row>
    <row r="268" spans="2:3">
      <c r="B268" t="str">
        <v>F14</v>
      </c>
      <c r="C268" t="str">
        <v>♙</v>
      </c>
    </row>
    <row r="269" spans="2:3">
      <c r="B269" t="str">
        <v>G14</v>
      </c>
      <c r="C269" t="str">
        <v xml:space="preserve"> </v>
      </c>
    </row>
    <row r="270" spans="2:3">
      <c r="B270" t="str">
        <v>H14</v>
      </c>
      <c r="C270" t="str">
        <v xml:space="preserve"> </v>
      </c>
    </row>
    <row r="271" spans="2:3">
      <c r="B271" t="str">
        <v>I14</v>
      </c>
      <c r="C271" t="str">
        <v>♘</v>
      </c>
    </row>
    <row r="272" spans="2:3">
      <c r="B272" t="str">
        <v>J14</v>
      </c>
      <c r="C272" t="str">
        <v xml:space="preserve"> </v>
      </c>
    </row>
    <row r="273" spans="2:3">
      <c r="B273" t="str">
        <v>K14</v>
      </c>
      <c r="C273" t="str">
        <v>♟</v>
      </c>
    </row>
    <row r="274" spans="2:3">
      <c r="B274" t="str">
        <v>L14</v>
      </c>
      <c r="C274" t="str">
        <v xml:space="preserve"> </v>
      </c>
    </row>
    <row r="275" spans="2:3">
      <c r="B275" t="str">
        <v>M14</v>
      </c>
      <c r="C275" t="str">
        <v xml:space="preserve"> </v>
      </c>
    </row>
    <row r="276" spans="2:3">
      <c r="B276" t="str">
        <v>N14</v>
      </c>
      <c r="C276" t="str">
        <v>♖</v>
      </c>
    </row>
    <row r="277" spans="2:3">
      <c r="B277" t="str">
        <v>O14</v>
      </c>
      <c r="C277" t="str">
        <v xml:space="preserve"> </v>
      </c>
    </row>
    <row r="278" spans="2:3">
      <c r="B278" t="str">
        <v>P14</v>
      </c>
      <c r="C278" t="str">
        <v>♘</v>
      </c>
    </row>
    <row r="279" spans="2:3">
      <c r="B279" t="str">
        <v>Q14</v>
      </c>
      <c r="C279" t="str">
        <v>♟</v>
      </c>
    </row>
    <row r="280" spans="2:3">
      <c r="B280" t="str">
        <v>R14</v>
      </c>
      <c r="C280" t="str">
        <v xml:space="preserve"> </v>
      </c>
    </row>
    <row r="281" spans="2:3">
      <c r="B281" t="str">
        <v>S14</v>
      </c>
      <c r="C281" t="str">
        <v xml:space="preserve"> </v>
      </c>
    </row>
    <row r="282" spans="2:3">
      <c r="B282" t="str">
        <v>T14</v>
      </c>
      <c r="C282" t="str">
        <v>♖</v>
      </c>
    </row>
    <row r="283" spans="2:3">
      <c r="B283" t="str">
        <v>U14</v>
      </c>
      <c r="C283" t="str">
        <v>♖</v>
      </c>
    </row>
    <row r="284" spans="2:3">
      <c r="B284" t="str">
        <v>B15</v>
      </c>
      <c r="C284" t="str">
        <v>♚</v>
      </c>
    </row>
    <row r="285" spans="2:3">
      <c r="B285" t="str">
        <v>C15</v>
      </c>
      <c r="C285" t="str">
        <v xml:space="preserve"> </v>
      </c>
    </row>
    <row r="286" spans="2:3">
      <c r="B286" t="str">
        <v>D15</v>
      </c>
      <c r="C286" t="str">
        <v xml:space="preserve"> </v>
      </c>
    </row>
    <row r="287" spans="2:3">
      <c r="B287" t="str">
        <v>E15</v>
      </c>
      <c r="C287" t="str">
        <v xml:space="preserve"> </v>
      </c>
    </row>
    <row r="288" spans="2:3">
      <c r="B288" t="str">
        <v>F15</v>
      </c>
      <c r="C288" t="str">
        <v>♙</v>
      </c>
    </row>
    <row r="289" spans="2:3">
      <c r="B289" t="str">
        <v>G15</v>
      </c>
      <c r="C289" t="str">
        <v xml:space="preserve"> </v>
      </c>
    </row>
    <row r="290" spans="2:3">
      <c r="B290" t="str">
        <v>H15</v>
      </c>
      <c r="C290" t="str">
        <v>♙</v>
      </c>
    </row>
    <row r="291" spans="2:3">
      <c r="B291" t="str">
        <v>I15</v>
      </c>
      <c r="C291" t="str">
        <v>♘</v>
      </c>
    </row>
    <row r="292" spans="2:3">
      <c r="B292" t="str">
        <v>J15</v>
      </c>
      <c r="C292" t="str">
        <v xml:space="preserve"> </v>
      </c>
    </row>
    <row r="293" spans="2:3">
      <c r="B293" t="str">
        <v>K15</v>
      </c>
      <c r="C293" t="str">
        <v xml:space="preserve"> </v>
      </c>
    </row>
    <row r="294" spans="2:3">
      <c r="B294" t="str">
        <v>L15</v>
      </c>
      <c r="C294" t="str">
        <v>♙</v>
      </c>
    </row>
    <row r="295" spans="2:3">
      <c r="B295" t="str">
        <v>M15</v>
      </c>
      <c r="C295" t="str">
        <v xml:space="preserve"> </v>
      </c>
    </row>
    <row r="296" spans="2:3">
      <c r="B296" t="str">
        <v>N15</v>
      </c>
      <c r="C296" t="str">
        <v xml:space="preserve"> </v>
      </c>
    </row>
    <row r="297" spans="2:3">
      <c r="B297" t="str">
        <v>O15</v>
      </c>
      <c r="C297" t="str">
        <v>♟</v>
      </c>
    </row>
    <row r="298" spans="2:3">
      <c r="B298" t="str">
        <v>P15</v>
      </c>
      <c r="C298" t="str">
        <v xml:space="preserve"> </v>
      </c>
    </row>
    <row r="299" spans="2:3">
      <c r="B299" t="str">
        <v>Q15</v>
      </c>
      <c r="C299" t="str">
        <v xml:space="preserve"> </v>
      </c>
    </row>
    <row r="300" spans="2:3">
      <c r="B300" t="str">
        <v>R15</v>
      </c>
      <c r="C300" t="str">
        <v xml:space="preserve"> </v>
      </c>
    </row>
    <row r="301" spans="2:3">
      <c r="B301" t="str">
        <v>S15</v>
      </c>
      <c r="C301" t="str">
        <v xml:space="preserve"> </v>
      </c>
    </row>
    <row r="302" spans="2:3">
      <c r="B302" t="str">
        <v>T15</v>
      </c>
      <c r="C302" t="str">
        <v>♖</v>
      </c>
    </row>
    <row r="303" spans="2:3">
      <c r="B303" t="str">
        <v>U15</v>
      </c>
      <c r="C303" t="str">
        <v xml:space="preserve"> </v>
      </c>
    </row>
    <row r="304" spans="2:3">
      <c r="B304" t="str">
        <v>B16</v>
      </c>
      <c r="C304" t="str">
        <v xml:space="preserve"> </v>
      </c>
    </row>
    <row r="305" spans="2:3">
      <c r="B305" t="str">
        <v>C16</v>
      </c>
      <c r="C305" t="str">
        <v xml:space="preserve"> </v>
      </c>
    </row>
    <row r="306" spans="2:3">
      <c r="B306" t="str">
        <v>D16</v>
      </c>
      <c r="C306" t="str">
        <v xml:space="preserve"> </v>
      </c>
    </row>
    <row r="307" spans="2:3">
      <c r="B307" t="str">
        <v>E16</v>
      </c>
      <c r="C307" t="str">
        <v xml:space="preserve"> </v>
      </c>
    </row>
    <row r="308" spans="2:3">
      <c r="B308" t="str">
        <v>F16</v>
      </c>
      <c r="C308" t="str">
        <v xml:space="preserve"> </v>
      </c>
    </row>
    <row r="309" spans="2:3">
      <c r="B309" t="str">
        <v>G16</v>
      </c>
      <c r="C309" t="str">
        <v>♘</v>
      </c>
    </row>
    <row r="310" spans="2:3">
      <c r="B310" t="str">
        <v>H16</v>
      </c>
      <c r="C310" t="str">
        <v xml:space="preserve"> </v>
      </c>
    </row>
    <row r="311" spans="2:3">
      <c r="B311" t="str">
        <v>I16</v>
      </c>
      <c r="C311" t="str">
        <v>♘</v>
      </c>
    </row>
    <row r="312" spans="2:3">
      <c r="B312" t="str">
        <v>J16</v>
      </c>
      <c r="C312" t="str">
        <v xml:space="preserve"> </v>
      </c>
    </row>
    <row r="313" spans="2:3">
      <c r="B313" t="str">
        <v>K16</v>
      </c>
      <c r="C313" t="str">
        <v>♙</v>
      </c>
    </row>
    <row r="314" spans="2:3">
      <c r="B314" t="str">
        <v>L16</v>
      </c>
      <c r="C314" t="str">
        <v xml:space="preserve"> </v>
      </c>
    </row>
    <row r="315" spans="2:3">
      <c r="B315" t="str">
        <v>M16</v>
      </c>
      <c r="C315" t="str">
        <v>♙</v>
      </c>
    </row>
    <row r="316" spans="2:3">
      <c r="B316" t="str">
        <v>N16</v>
      </c>
      <c r="C316" t="str">
        <v>♙</v>
      </c>
    </row>
    <row r="317" spans="2:3">
      <c r="B317" t="str">
        <v>O16</v>
      </c>
      <c r="C317" t="str">
        <v>♟</v>
      </c>
    </row>
    <row r="318" spans="2:3">
      <c r="B318" t="str">
        <v>P16</v>
      </c>
      <c r="C318" t="str">
        <v xml:space="preserve"> </v>
      </c>
    </row>
    <row r="319" spans="2:3">
      <c r="B319" t="str">
        <v>Q16</v>
      </c>
      <c r="C319" t="str">
        <v>♙</v>
      </c>
    </row>
    <row r="320" spans="2:3">
      <c r="B320" t="str">
        <v>R16</v>
      </c>
      <c r="C320" t="str">
        <v>♗</v>
      </c>
    </row>
    <row r="321" spans="2:3">
      <c r="B321" t="str">
        <v>S16</v>
      </c>
      <c r="C321" t="str">
        <v xml:space="preserve"> </v>
      </c>
    </row>
    <row r="322" spans="2:3">
      <c r="B322" t="str">
        <v>T16</v>
      </c>
      <c r="C322" t="str">
        <v>♜</v>
      </c>
    </row>
    <row r="323" spans="2:3">
      <c r="B323" t="str">
        <v>U16</v>
      </c>
      <c r="C323" t="str">
        <v xml:space="preserve"> </v>
      </c>
    </row>
    <row r="324" spans="2:3">
      <c r="B324" t="str">
        <v>B17</v>
      </c>
      <c r="C324" t="str">
        <v>♙</v>
      </c>
    </row>
    <row r="325" spans="2:3">
      <c r="B325" t="str">
        <v>C17</v>
      </c>
      <c r="C325" t="str">
        <v xml:space="preserve"> </v>
      </c>
    </row>
    <row r="326" spans="2:3">
      <c r="B326" t="str">
        <v>D17</v>
      </c>
      <c r="C326" t="str">
        <v>♜</v>
      </c>
    </row>
    <row r="327" spans="2:3">
      <c r="B327" t="str">
        <v>E17</v>
      </c>
      <c r="C327" t="str">
        <v>♜</v>
      </c>
    </row>
    <row r="328" spans="2:3">
      <c r="B328" t="str">
        <v>F17</v>
      </c>
      <c r="C328" t="str">
        <v xml:space="preserve"> </v>
      </c>
    </row>
    <row r="329" spans="2:3">
      <c r="B329" t="str">
        <v>G17</v>
      </c>
      <c r="C329" t="str">
        <v>♙</v>
      </c>
    </row>
    <row r="330" spans="2:3">
      <c r="B330" t="str">
        <v>H17</v>
      </c>
      <c r="C330" t="str">
        <v>♟</v>
      </c>
    </row>
    <row r="331" spans="2:3">
      <c r="B331" t="str">
        <v>I17</v>
      </c>
      <c r="C331" t="str">
        <v xml:space="preserve"> </v>
      </c>
    </row>
    <row r="332" spans="2:3">
      <c r="B332" t="str">
        <v>J17</v>
      </c>
      <c r="C332" t="str">
        <v xml:space="preserve"> </v>
      </c>
    </row>
    <row r="333" spans="2:3">
      <c r="B333" t="str">
        <v>K17</v>
      </c>
      <c r="C333" t="str">
        <v xml:space="preserve"> </v>
      </c>
    </row>
    <row r="334" spans="2:3">
      <c r="B334" t="str">
        <v>L17</v>
      </c>
      <c r="C334" t="str">
        <v xml:space="preserve"> </v>
      </c>
    </row>
    <row r="335" spans="2:3">
      <c r="B335" t="str">
        <v>M17</v>
      </c>
      <c r="C335" t="str">
        <v>♙</v>
      </c>
    </row>
    <row r="336" spans="2:3">
      <c r="B336" t="str">
        <v>N17</v>
      </c>
      <c r="C336" t="str">
        <v>♝</v>
      </c>
    </row>
    <row r="337" spans="2:3">
      <c r="B337" t="str">
        <v>O17</v>
      </c>
      <c r="C337" t="str">
        <v>♜</v>
      </c>
    </row>
    <row r="338" spans="2:3">
      <c r="B338" t="str">
        <v>P17</v>
      </c>
      <c r="C338" t="str">
        <v xml:space="preserve"> </v>
      </c>
    </row>
    <row r="339" spans="2:3">
      <c r="B339" t="str">
        <v>Q17</v>
      </c>
      <c r="C339" t="str">
        <v>♞</v>
      </c>
    </row>
    <row r="340" spans="2:3">
      <c r="B340" t="str">
        <v>R17</v>
      </c>
      <c r="C340" t="str">
        <v xml:space="preserve"> </v>
      </c>
    </row>
    <row r="341" spans="2:3">
      <c r="B341" t="str">
        <v>S17</v>
      </c>
      <c r="C341" t="str">
        <v xml:space="preserve"> </v>
      </c>
    </row>
    <row r="342" spans="2:3">
      <c r="B342" t="str">
        <v>T17</v>
      </c>
      <c r="C342" t="str">
        <v xml:space="preserve"> </v>
      </c>
    </row>
    <row r="343" spans="2:3">
      <c r="B343" t="str">
        <v>U17</v>
      </c>
      <c r="C343" t="str">
        <v>♟</v>
      </c>
    </row>
    <row r="344" spans="2:3">
      <c r="B344" t="str">
        <v>B18</v>
      </c>
      <c r="C344" t="str">
        <v>♙</v>
      </c>
    </row>
    <row r="345" spans="2:3">
      <c r="B345" t="str">
        <v>C18</v>
      </c>
      <c r="C345" t="str">
        <v>♖</v>
      </c>
    </row>
    <row r="346" spans="2:3">
      <c r="B346" t="str">
        <v>D18</v>
      </c>
      <c r="C346" t="str">
        <v xml:space="preserve"> </v>
      </c>
    </row>
    <row r="347" spans="2:3">
      <c r="B347" t="str">
        <v>E18</v>
      </c>
      <c r="C347" t="str">
        <v xml:space="preserve"> </v>
      </c>
    </row>
    <row r="348" spans="2:3">
      <c r="B348" t="str">
        <v>F18</v>
      </c>
      <c r="C348" t="str">
        <v>♟</v>
      </c>
    </row>
    <row r="349" spans="2:3">
      <c r="B349" t="str">
        <v>G18</v>
      </c>
      <c r="C349" t="str">
        <v xml:space="preserve"> </v>
      </c>
    </row>
    <row r="350" spans="2:3">
      <c r="B350" t="str">
        <v>H18</v>
      </c>
      <c r="C350" t="str">
        <v xml:space="preserve"> </v>
      </c>
    </row>
    <row r="351" spans="2:3">
      <c r="B351" t="str">
        <v>I18</v>
      </c>
      <c r="C351" t="str">
        <v xml:space="preserve"> </v>
      </c>
    </row>
    <row r="352" spans="2:3">
      <c r="B352" t="str">
        <v>J18</v>
      </c>
      <c r="C352" t="str">
        <v xml:space="preserve"> </v>
      </c>
    </row>
    <row r="353" spans="2:3">
      <c r="B353" t="str">
        <v>K18</v>
      </c>
      <c r="C353" t="str">
        <v>♙</v>
      </c>
    </row>
    <row r="354" spans="2:3">
      <c r="B354" t="str">
        <v>L18</v>
      </c>
      <c r="C354" t="str">
        <v xml:space="preserve"> </v>
      </c>
    </row>
    <row r="355" spans="2:3">
      <c r="B355" t="str">
        <v>M18</v>
      </c>
      <c r="C355" t="str">
        <v>♙</v>
      </c>
    </row>
    <row r="356" spans="2:3">
      <c r="B356" t="str">
        <v>N18</v>
      </c>
      <c r="C356" t="str">
        <v>♛</v>
      </c>
    </row>
    <row r="357" spans="2:3">
      <c r="B357" t="str">
        <v>O18</v>
      </c>
      <c r="C357" t="str">
        <v>♟</v>
      </c>
    </row>
    <row r="358" spans="2:3">
      <c r="B358" t="str">
        <v>P18</v>
      </c>
      <c r="C358" t="str">
        <v>♛</v>
      </c>
    </row>
    <row r="359" spans="2:3">
      <c r="B359" t="str">
        <v>Q18</v>
      </c>
      <c r="C359" t="str">
        <v xml:space="preserve"> </v>
      </c>
    </row>
    <row r="360" spans="2:3">
      <c r="B360" t="str">
        <v>R18</v>
      </c>
      <c r="C360" t="str">
        <v xml:space="preserve"> </v>
      </c>
    </row>
    <row r="361" spans="2:3">
      <c r="B361" t="str">
        <v>S18</v>
      </c>
      <c r="C361" t="str">
        <v xml:space="preserve"> </v>
      </c>
    </row>
    <row r="362" spans="2:3">
      <c r="B362" t="str">
        <v>T18</v>
      </c>
      <c r="C362" t="str">
        <v xml:space="preserve"> </v>
      </c>
    </row>
    <row r="363" spans="2:3">
      <c r="B363" t="str">
        <v>U18</v>
      </c>
      <c r="C363" t="str">
        <v xml:space="preserve"> </v>
      </c>
    </row>
    <row r="364" spans="2:3">
      <c r="B364" t="str">
        <v>B19</v>
      </c>
      <c r="C364" t="str">
        <v>♘</v>
      </c>
    </row>
    <row r="365" spans="2:3">
      <c r="B365" t="str">
        <v>C19</v>
      </c>
      <c r="C365" t="str">
        <v>♘</v>
      </c>
    </row>
    <row r="366" spans="2:3">
      <c r="B366" t="str">
        <v>D19</v>
      </c>
      <c r="C366" t="str">
        <v>♞</v>
      </c>
    </row>
    <row r="367" spans="2:3">
      <c r="B367" t="str">
        <v>E19</v>
      </c>
      <c r="C367" t="str">
        <v>♟</v>
      </c>
    </row>
    <row r="368" spans="2:3">
      <c r="B368" t="str">
        <v>F19</v>
      </c>
      <c r="C368" t="str">
        <v>♝</v>
      </c>
    </row>
    <row r="369" spans="2:3">
      <c r="B369" t="str">
        <v>G19</v>
      </c>
      <c r="C369" t="str">
        <v xml:space="preserve"> </v>
      </c>
    </row>
    <row r="370" spans="2:3">
      <c r="B370" t="str">
        <v>H19</v>
      </c>
      <c r="C370" t="str">
        <v xml:space="preserve"> </v>
      </c>
    </row>
    <row r="371" spans="2:3">
      <c r="B371" t="str">
        <v>I19</v>
      </c>
      <c r="C371" t="str">
        <v>♜</v>
      </c>
    </row>
    <row r="372" spans="2:3">
      <c r="B372" t="str">
        <v>J19</v>
      </c>
      <c r="C372" t="str">
        <v xml:space="preserve"> </v>
      </c>
    </row>
    <row r="373" spans="2:3">
      <c r="B373" t="str">
        <v>K19</v>
      </c>
      <c r="C373" t="str">
        <v xml:space="preserve"> </v>
      </c>
    </row>
    <row r="374" spans="2:3">
      <c r="B374" t="str">
        <v>L19</v>
      </c>
      <c r="C374" t="str">
        <v xml:space="preserve"> </v>
      </c>
    </row>
    <row r="375" spans="2:3">
      <c r="B375" t="str">
        <v>M19</v>
      </c>
      <c r="C375" t="str">
        <v>♙</v>
      </c>
    </row>
    <row r="376" spans="2:3">
      <c r="B376" t="str">
        <v>N19</v>
      </c>
      <c r="C376" t="str">
        <v xml:space="preserve"> </v>
      </c>
    </row>
    <row r="377" spans="2:3">
      <c r="B377" t="str">
        <v>O19</v>
      </c>
      <c r="C377" t="str">
        <v>♙</v>
      </c>
    </row>
    <row r="378" spans="2:3">
      <c r="B378" t="str">
        <v>P19</v>
      </c>
      <c r="C378" t="str">
        <v>♖</v>
      </c>
    </row>
    <row r="379" spans="2:3">
      <c r="B379" t="str">
        <v>Q19</v>
      </c>
      <c r="C379" t="str">
        <v xml:space="preserve"> </v>
      </c>
    </row>
    <row r="380" spans="2:3">
      <c r="B380" t="str">
        <v>R19</v>
      </c>
      <c r="C380" t="str">
        <v>♙</v>
      </c>
    </row>
    <row r="381" spans="2:3">
      <c r="B381" t="str">
        <v>S19</v>
      </c>
      <c r="C381" t="str">
        <v xml:space="preserve"> </v>
      </c>
    </row>
    <row r="382" spans="2:3">
      <c r="B382" t="str">
        <v>T19</v>
      </c>
      <c r="C382" t="str">
        <v>♟</v>
      </c>
    </row>
    <row r="383" spans="2:3">
      <c r="B383" t="str">
        <v>U19</v>
      </c>
      <c r="C383" t="str">
        <v>♞</v>
      </c>
    </row>
    <row r="384" spans="2:3">
      <c r="B384" t="str">
        <v>B20</v>
      </c>
      <c r="C384" t="str">
        <v xml:space="preserve"> </v>
      </c>
    </row>
    <row r="385" spans="2:3">
      <c r="B385" t="str">
        <v>C20</v>
      </c>
      <c r="C385" t="str">
        <v>♟</v>
      </c>
    </row>
    <row r="386" spans="2:3">
      <c r="B386" t="str">
        <v>D20</v>
      </c>
      <c r="C386" t="str">
        <v>♖</v>
      </c>
    </row>
    <row r="387" spans="2:3">
      <c r="B387" t="str">
        <v>E20</v>
      </c>
      <c r="C387" t="str">
        <v xml:space="preserve"> </v>
      </c>
    </row>
    <row r="388" spans="2:3">
      <c r="B388" t="str">
        <v>F20</v>
      </c>
      <c r="C388" t="str">
        <v>♟</v>
      </c>
    </row>
    <row r="389" spans="2:3">
      <c r="B389" t="str">
        <v>G20</v>
      </c>
      <c r="C389" t="str">
        <v xml:space="preserve"> </v>
      </c>
    </row>
    <row r="390" spans="2:3">
      <c r="B390" t="str">
        <v>H20</v>
      </c>
      <c r="C390" t="str">
        <v>♗</v>
      </c>
    </row>
    <row r="391" spans="2:3">
      <c r="B391" t="str">
        <v>I20</v>
      </c>
      <c r="C391" t="str">
        <v xml:space="preserve"> </v>
      </c>
    </row>
    <row r="392" spans="2:3">
      <c r="B392" t="str">
        <v>J20</v>
      </c>
      <c r="C392" t="str">
        <v xml:space="preserve"> </v>
      </c>
    </row>
    <row r="393" spans="2:3">
      <c r="B393" t="str">
        <v>K20</v>
      </c>
      <c r="C393" t="str">
        <v>♔</v>
      </c>
    </row>
    <row r="394" spans="2:3">
      <c r="B394" t="str">
        <v>L20</v>
      </c>
      <c r="C394" t="str">
        <v>♜</v>
      </c>
    </row>
    <row r="395" spans="2:3">
      <c r="B395" t="str">
        <v>M20</v>
      </c>
      <c r="C395" t="str">
        <v xml:space="preserve"> </v>
      </c>
    </row>
    <row r="396" spans="2:3">
      <c r="B396" t="str">
        <v>N20</v>
      </c>
      <c r="C396" t="str">
        <v xml:space="preserve"> </v>
      </c>
    </row>
    <row r="397" spans="2:3">
      <c r="B397" t="str">
        <v>O20</v>
      </c>
      <c r="C397" t="str">
        <v xml:space="preserve"> </v>
      </c>
    </row>
    <row r="398" spans="2:3">
      <c r="B398" t="str">
        <v>P20</v>
      </c>
      <c r="C398" t="str">
        <v>♙</v>
      </c>
    </row>
    <row r="399" spans="2:3">
      <c r="B399" t="str">
        <v>Q20</v>
      </c>
      <c r="C399" t="str">
        <v xml:space="preserve"> </v>
      </c>
    </row>
    <row r="400" spans="2:3">
      <c r="B400" t="str">
        <v>R20</v>
      </c>
      <c r="C400" t="str">
        <v xml:space="preserve"> </v>
      </c>
    </row>
    <row r="401" spans="2:3">
      <c r="B401" t="str">
        <v>S20</v>
      </c>
      <c r="C401" t="str">
        <v>♕</v>
      </c>
    </row>
    <row r="402" spans="2:3">
      <c r="B402" t="str">
        <v>T20</v>
      </c>
      <c r="C402" t="str">
        <v>♘</v>
      </c>
    </row>
    <row r="403" spans="2:3">
      <c r="B403" t="str">
        <v>U20</v>
      </c>
      <c r="C403" t="str">
        <v>♟</v>
      </c>
    </row>
    <row r="404" spans="2:3">
      <c r="B404" t="str">
        <v>B21</v>
      </c>
      <c r="C404" t="str">
        <v xml:space="preserve"> </v>
      </c>
    </row>
    <row r="405" spans="2:3">
      <c r="B405" t="str">
        <v>C21</v>
      </c>
      <c r="C405" t="str">
        <v xml:space="preserve"> </v>
      </c>
    </row>
    <row r="406" spans="2:3">
      <c r="B406" t="str">
        <v>D21</v>
      </c>
      <c r="C406" t="str">
        <v>♟</v>
      </c>
    </row>
    <row r="407" spans="2:3">
      <c r="B407" t="str">
        <v>E21</v>
      </c>
      <c r="C407" t="str">
        <v>♛</v>
      </c>
    </row>
    <row r="408" spans="2:3">
      <c r="B408" t="str">
        <v>F21</v>
      </c>
      <c r="C408" t="str">
        <v xml:space="preserve"> </v>
      </c>
    </row>
    <row r="409" spans="2:3">
      <c r="B409" t="str">
        <v>G21</v>
      </c>
      <c r="C409" t="str">
        <v>♙</v>
      </c>
    </row>
    <row r="410" spans="2:3">
      <c r="B410" t="str">
        <v>H21</v>
      </c>
      <c r="C410" t="str">
        <v xml:space="preserve"> </v>
      </c>
    </row>
    <row r="411" spans="2:3">
      <c r="B411" t="str">
        <v>I21</v>
      </c>
      <c r="C411" t="str">
        <v>♟</v>
      </c>
    </row>
    <row r="412" spans="2:3">
      <c r="B412" t="str">
        <v>J21</v>
      </c>
      <c r="C412" t="str">
        <v xml:space="preserve"> </v>
      </c>
    </row>
    <row r="413" spans="2:3">
      <c r="B413" t="str">
        <v>K21</v>
      </c>
      <c r="C413" t="str">
        <v>♟</v>
      </c>
    </row>
    <row r="414" spans="2:3">
      <c r="B414" t="str">
        <v>L21</v>
      </c>
      <c r="C414" t="str">
        <v>♟</v>
      </c>
    </row>
    <row r="415" spans="2:3">
      <c r="B415" t="str">
        <v>M21</v>
      </c>
      <c r="C415" t="str">
        <v xml:space="preserve"> </v>
      </c>
    </row>
    <row r="416" spans="2:3">
      <c r="B416" t="str">
        <v>N21</v>
      </c>
      <c r="C416" t="str">
        <v xml:space="preserve"> </v>
      </c>
    </row>
    <row r="417" spans="2:3">
      <c r="B417" t="str">
        <v>O21</v>
      </c>
      <c r="C417" t="str">
        <v>♟</v>
      </c>
    </row>
    <row r="418" spans="2:3">
      <c r="B418" t="str">
        <v>P21</v>
      </c>
      <c r="C418" t="str">
        <v>♟</v>
      </c>
    </row>
    <row r="419" spans="2:3">
      <c r="B419" t="str">
        <v>Q21</v>
      </c>
      <c r="C419" t="str">
        <v xml:space="preserve"> </v>
      </c>
    </row>
    <row r="420" spans="2:3">
      <c r="B420" t="str">
        <v>R21</v>
      </c>
      <c r="C420" t="str">
        <v>♟</v>
      </c>
    </row>
    <row r="421" spans="2:3">
      <c r="B421" t="str">
        <v>S21</v>
      </c>
      <c r="C421" t="str">
        <v>♙</v>
      </c>
    </row>
    <row r="422" spans="2:3">
      <c r="B422" t="str">
        <v>T21</v>
      </c>
      <c r="C422" t="str">
        <v xml:space="preserve"> </v>
      </c>
    </row>
    <row r="423" spans="2:3">
      <c r="B423" t="str">
        <v>U21</v>
      </c>
      <c r="C423" t="str">
        <v>♕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List</vt:lpstr>
      <vt:lpstr>LabDiag</vt:lpstr>
      <vt:lpstr>Lz_Adjacent_Lab</vt:lpstr>
      <vt:lpstr>LabLargeNum</vt:lpstr>
      <vt:lpstr>cp1</vt:lpstr>
      <vt:lpstr>cp</vt:lpstr>
      <vt:lpstr>Lz_Diagonals</vt:lpstr>
      <vt:lpstr>Lz_Chess Lab</vt:lpstr>
      <vt:lpstr>Lz_Chess Lab2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Jhonson Harilaza Ramihajamanana</dc:creator>
  <cp:lastModifiedBy>Jhonson Harilaza Ramihajamanana</cp:lastModifiedBy>
  <dcterms:created xsi:type="dcterms:W3CDTF">2026-08-24T05:22:34Z</dcterms:created>
  <dcterms:modified xsi:type="dcterms:W3CDTF">2026-09-28T08:18:32Z</dcterms:modified>
</cp:coreProperties>
</file>